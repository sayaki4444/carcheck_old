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총무복지실\공용차량\012. 승용차 요일제 관련\003. 위반차량\"/>
    </mc:Choice>
  </mc:AlternateContent>
  <xr:revisionPtr revIDLastSave="0" documentId="13_ncr:1_{75847775-2140-4E25-BA35-7CCE1AEB4B6D}" xr6:coauthVersionLast="36" xr6:coauthVersionMax="47" xr10:uidLastSave="{00000000-0000-0000-0000-000000000000}"/>
  <bookViews>
    <workbookView xWindow="-105" yWindow="0" windowWidth="14610" windowHeight="17385" xr2:uid="{B2FCAB4B-CC5D-4790-9F08-99440BF2A23D}"/>
  </bookViews>
  <sheets>
    <sheet name="전체리스트" sheetId="5" r:id="rId1"/>
    <sheet name="기간만료" sheetId="11" r:id="rId2"/>
    <sheet name="Sheet1" sheetId="7" r:id="rId3"/>
    <sheet name="Sheet2" sheetId="10" r:id="rId4"/>
  </sheets>
  <definedNames>
    <definedName name="_xlnm._FilterDatabase" localSheetId="1" hidden="1">기간만료!#REF!</definedName>
    <definedName name="_xlnm._FilterDatabase" localSheetId="0" hidden="1">전체리스트!$A$1:$J$1</definedName>
  </definedNames>
  <calcPr calcId="191029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95" i="5" l="1"/>
  <c r="F294" i="5"/>
  <c r="F293" i="5"/>
  <c r="F292" i="5"/>
  <c r="F291" i="5"/>
  <c r="F290" i="5"/>
  <c r="F289" i="5"/>
  <c r="M20" i="10" l="1"/>
  <c r="I21" i="10" l="1"/>
  <c r="F288" i="7" l="1"/>
  <c r="F287" i="7"/>
  <c r="F286" i="7"/>
  <c r="F285" i="7"/>
  <c r="F284" i="7"/>
  <c r="F283" i="7"/>
  <c r="F282" i="7"/>
  <c r="F281" i="7"/>
  <c r="F280" i="7"/>
  <c r="F279" i="7"/>
  <c r="F278" i="7"/>
  <c r="F277" i="7"/>
  <c r="F276" i="7"/>
  <c r="F275" i="7"/>
  <c r="F274" i="7"/>
  <c r="F273" i="7"/>
  <c r="F272" i="7"/>
  <c r="F271" i="7"/>
  <c r="F270" i="7"/>
  <c r="F269" i="7"/>
  <c r="F268" i="7"/>
  <c r="F267" i="7"/>
  <c r="F266" i="7"/>
  <c r="F265" i="7"/>
  <c r="F264" i="7"/>
  <c r="F263" i="7"/>
  <c r="F262" i="7"/>
  <c r="F261" i="7"/>
  <c r="F260" i="7"/>
  <c r="F259" i="7"/>
  <c r="F258" i="7"/>
  <c r="F257" i="7"/>
  <c r="F256" i="7"/>
  <c r="F255" i="7"/>
  <c r="F254" i="7"/>
  <c r="F253" i="7"/>
  <c r="F252" i="7"/>
  <c r="F251" i="7"/>
  <c r="F250" i="7"/>
  <c r="F249" i="7"/>
  <c r="F248" i="7"/>
  <c r="F247" i="7"/>
  <c r="F246" i="7"/>
  <c r="F245" i="7"/>
  <c r="F244" i="7"/>
  <c r="F243" i="7"/>
  <c r="F242" i="7"/>
  <c r="F241" i="7"/>
  <c r="F240" i="7"/>
  <c r="F239" i="7"/>
  <c r="F238" i="7"/>
  <c r="F237" i="7"/>
  <c r="F236" i="7"/>
  <c r="F235" i="7"/>
  <c r="F234" i="7"/>
  <c r="F233" i="7"/>
  <c r="F232" i="7"/>
  <c r="F231" i="7"/>
  <c r="F230" i="7"/>
  <c r="F229" i="7"/>
  <c r="F228" i="7"/>
  <c r="F227" i="7"/>
  <c r="F226" i="7"/>
  <c r="F225" i="7"/>
  <c r="F224" i="7"/>
  <c r="F223" i="7"/>
  <c r="F222" i="7"/>
  <c r="F221" i="7"/>
  <c r="F220" i="7"/>
  <c r="F219" i="7"/>
  <c r="F218" i="7"/>
  <c r="F217" i="7"/>
  <c r="F216" i="7"/>
  <c r="F215" i="7"/>
  <c r="F214" i="7"/>
  <c r="F213" i="7"/>
  <c r="F212" i="7"/>
  <c r="F211" i="7"/>
  <c r="F210" i="7"/>
  <c r="F209" i="7"/>
  <c r="F208" i="7"/>
  <c r="F207" i="7"/>
  <c r="F206" i="7"/>
  <c r="F205" i="7"/>
  <c r="F204" i="7"/>
  <c r="F203" i="7"/>
  <c r="F202" i="7"/>
  <c r="F201" i="7"/>
  <c r="F200" i="7"/>
  <c r="F199" i="7"/>
  <c r="F198" i="7"/>
  <c r="F197" i="7"/>
  <c r="F196" i="7"/>
  <c r="F195" i="7"/>
  <c r="F194" i="7"/>
  <c r="F193" i="7"/>
  <c r="F192" i="7"/>
  <c r="F191" i="7"/>
  <c r="F190" i="7"/>
  <c r="F189" i="7"/>
  <c r="F188" i="7"/>
  <c r="F187" i="7"/>
  <c r="F186" i="7"/>
  <c r="F185" i="7"/>
  <c r="F184" i="7"/>
  <c r="F183" i="7"/>
  <c r="F182" i="7"/>
  <c r="F181" i="7"/>
  <c r="F180" i="7"/>
  <c r="F179" i="7"/>
  <c r="F178" i="7"/>
  <c r="F177" i="7"/>
  <c r="F176" i="7"/>
  <c r="F175" i="7"/>
  <c r="F174" i="7"/>
  <c r="F173" i="7"/>
  <c r="F172" i="7"/>
  <c r="F171" i="7"/>
  <c r="F170" i="7"/>
  <c r="F169" i="7"/>
  <c r="F168" i="7"/>
  <c r="F167" i="7"/>
  <c r="F166" i="7"/>
  <c r="F165" i="7"/>
  <c r="F164" i="7"/>
  <c r="F163" i="7"/>
  <c r="F162" i="7"/>
  <c r="F161" i="7"/>
  <c r="F160" i="7"/>
  <c r="F159" i="7"/>
  <c r="F158" i="7"/>
  <c r="F157" i="7"/>
  <c r="F156" i="7"/>
  <c r="F155" i="7"/>
  <c r="F154" i="7"/>
  <c r="F153" i="7"/>
  <c r="F152" i="7"/>
  <c r="F151" i="7"/>
  <c r="F150" i="7"/>
  <c r="F149" i="7"/>
  <c r="F148" i="7"/>
  <c r="F147" i="7"/>
  <c r="F146" i="7"/>
  <c r="F145" i="7"/>
  <c r="F144" i="7"/>
  <c r="F143" i="7"/>
  <c r="F142" i="7"/>
  <c r="F141" i="7"/>
  <c r="F140" i="7"/>
  <c r="F139" i="7"/>
  <c r="F138" i="7"/>
  <c r="F137" i="7"/>
  <c r="F136" i="7"/>
  <c r="F135" i="7"/>
  <c r="F134" i="7"/>
  <c r="F133" i="7"/>
  <c r="F132" i="7"/>
  <c r="F131" i="7"/>
  <c r="F130" i="7"/>
  <c r="F129" i="7"/>
  <c r="F128" i="7"/>
  <c r="F127" i="7"/>
  <c r="F126" i="7"/>
  <c r="F125" i="7"/>
  <c r="F124" i="7"/>
  <c r="F123" i="7"/>
  <c r="F122" i="7"/>
  <c r="F121" i="7"/>
  <c r="F120" i="7"/>
  <c r="F119" i="7"/>
  <c r="F118" i="7"/>
  <c r="F117" i="7"/>
  <c r="F116" i="7"/>
  <c r="F115" i="7"/>
  <c r="F114" i="7"/>
  <c r="F113" i="7"/>
  <c r="F112" i="7"/>
  <c r="F111" i="7"/>
  <c r="F110" i="7"/>
  <c r="F109" i="7"/>
  <c r="F108" i="7"/>
  <c r="F107" i="7"/>
  <c r="F106" i="7"/>
  <c r="F105" i="7"/>
  <c r="F104" i="7"/>
  <c r="F103" i="7"/>
  <c r="F102" i="7"/>
  <c r="F101" i="7"/>
  <c r="F100" i="7"/>
  <c r="F99" i="7"/>
  <c r="F98" i="7"/>
  <c r="F97" i="7"/>
  <c r="F96" i="7"/>
  <c r="F95" i="7"/>
  <c r="F94" i="7"/>
  <c r="F93" i="7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54" i="7"/>
  <c r="F53" i="7"/>
  <c r="F52" i="7"/>
  <c r="F51" i="7"/>
  <c r="F50" i="7"/>
  <c r="F49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F3" i="5" l="1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" i="5" l="1"/>
</calcChain>
</file>

<file path=xl/sharedStrings.xml><?xml version="1.0" encoding="utf-8"?>
<sst xmlns="http://schemas.openxmlformats.org/spreadsheetml/2006/main" count="4998" uniqueCount="828">
  <si>
    <t>소유자</t>
    <phoneticPr fontId="1" type="noConversion"/>
  </si>
  <si>
    <t>제외사유</t>
    <phoneticPr fontId="1" type="noConversion"/>
  </si>
  <si>
    <t>차량번호</t>
    <phoneticPr fontId="1" type="noConversion"/>
  </si>
  <si>
    <t>부서</t>
    <phoneticPr fontId="1" type="noConversion"/>
  </si>
  <si>
    <t>장거리출퇴근</t>
    <phoneticPr fontId="1" type="noConversion"/>
  </si>
  <si>
    <t>연구관리실</t>
    <phoneticPr fontId="1" type="noConversion"/>
  </si>
  <si>
    <t>최재호</t>
    <phoneticPr fontId="1" type="noConversion"/>
  </si>
  <si>
    <t>125도9296</t>
    <phoneticPr fontId="1" type="noConversion"/>
  </si>
  <si>
    <t>방위연구부</t>
    <phoneticPr fontId="1" type="noConversion"/>
  </si>
  <si>
    <t>정의용</t>
    <phoneticPr fontId="1" type="noConversion"/>
  </si>
  <si>
    <t>신청서</t>
    <phoneticPr fontId="1" type="noConversion"/>
  </si>
  <si>
    <t>증빙서류</t>
    <phoneticPr fontId="1" type="noConversion"/>
  </si>
  <si>
    <t>ㅇ</t>
    <phoneticPr fontId="1" type="noConversion"/>
  </si>
  <si>
    <t>해양생명자원연구부</t>
    <phoneticPr fontId="1" type="noConversion"/>
  </si>
  <si>
    <t>강혜민</t>
    <phoneticPr fontId="1" type="noConversion"/>
  </si>
  <si>
    <t>398부6767</t>
    <phoneticPr fontId="1" type="noConversion"/>
  </si>
  <si>
    <t>유아동승</t>
    <phoneticPr fontId="1" type="noConversion"/>
  </si>
  <si>
    <t>이대원</t>
    <phoneticPr fontId="1" type="noConversion"/>
  </si>
  <si>
    <t>14나5690</t>
    <phoneticPr fontId="1" type="noConversion"/>
  </si>
  <si>
    <t>해양순환기후연구부</t>
    <phoneticPr fontId="1" type="noConversion"/>
  </si>
  <si>
    <t>김한나</t>
    <phoneticPr fontId="1" type="noConversion"/>
  </si>
  <si>
    <t>236호6107</t>
    <phoneticPr fontId="1" type="noConversion"/>
  </si>
  <si>
    <t>에너지연구부</t>
    <phoneticPr fontId="1" type="noConversion"/>
  </si>
  <si>
    <t>노민</t>
    <phoneticPr fontId="1" type="noConversion"/>
  </si>
  <si>
    <t>07더8294</t>
    <phoneticPr fontId="1" type="noConversion"/>
  </si>
  <si>
    <t>이정현</t>
    <phoneticPr fontId="1" type="noConversion"/>
  </si>
  <si>
    <t>기타</t>
    <phoneticPr fontId="1" type="noConversion"/>
  </si>
  <si>
    <t>157도8845</t>
    <phoneticPr fontId="1" type="noConversion"/>
  </si>
  <si>
    <t>김동국</t>
    <phoneticPr fontId="1" type="noConversion"/>
  </si>
  <si>
    <t>환경친화적 자동차</t>
    <phoneticPr fontId="1" type="noConversion"/>
  </si>
  <si>
    <t>12서8035</t>
    <phoneticPr fontId="1" type="noConversion"/>
  </si>
  <si>
    <t>해양재난연구부</t>
    <phoneticPr fontId="1" type="noConversion"/>
  </si>
  <si>
    <t>손동휘</t>
    <phoneticPr fontId="1" type="noConversion"/>
  </si>
  <si>
    <t>02주9708</t>
    <phoneticPr fontId="1" type="noConversion"/>
  </si>
  <si>
    <t>264가9755</t>
    <phoneticPr fontId="1" type="noConversion"/>
  </si>
  <si>
    <t>정의현</t>
    <phoneticPr fontId="1" type="noConversion"/>
  </si>
  <si>
    <t>31버0655</t>
    <phoneticPr fontId="1" type="noConversion"/>
  </si>
  <si>
    <t>김호진</t>
    <phoneticPr fontId="1" type="noConversion"/>
  </si>
  <si>
    <t>진현근</t>
    <phoneticPr fontId="1" type="noConversion"/>
  </si>
  <si>
    <t>141로3637</t>
    <phoneticPr fontId="1" type="noConversion"/>
  </si>
  <si>
    <t>경영정보실</t>
    <phoneticPr fontId="1" type="noConversion"/>
  </si>
  <si>
    <t>한준수</t>
    <phoneticPr fontId="1" type="noConversion"/>
  </si>
  <si>
    <t>48마9564</t>
    <phoneticPr fontId="1" type="noConversion"/>
  </si>
  <si>
    <t>해양영토연구본부</t>
    <phoneticPr fontId="1" type="noConversion"/>
  </si>
  <si>
    <t>조지영</t>
    <phoneticPr fontId="1" type="noConversion"/>
  </si>
  <si>
    <t>23라1974</t>
    <phoneticPr fontId="1" type="noConversion"/>
  </si>
  <si>
    <t>이주희</t>
    <phoneticPr fontId="1" type="noConversion"/>
  </si>
  <si>
    <t>123보3743</t>
    <phoneticPr fontId="1" type="noConversion"/>
  </si>
  <si>
    <t>대양자원연구부</t>
    <phoneticPr fontId="1" type="noConversion"/>
  </si>
  <si>
    <t>양승진</t>
    <phoneticPr fontId="1" type="noConversion"/>
  </si>
  <si>
    <t>46두5180</t>
    <phoneticPr fontId="1" type="noConversion"/>
  </si>
  <si>
    <t>김덕수</t>
    <phoneticPr fontId="1" type="noConversion"/>
  </si>
  <si>
    <t>136머5883</t>
    <phoneticPr fontId="1" type="noConversion"/>
  </si>
  <si>
    <t>강성균</t>
    <phoneticPr fontId="1" type="noConversion"/>
  </si>
  <si>
    <t>36너9201</t>
    <phoneticPr fontId="1" type="noConversion"/>
  </si>
  <si>
    <t>감사담당</t>
    <phoneticPr fontId="1" type="noConversion"/>
  </si>
  <si>
    <t>김나연</t>
    <phoneticPr fontId="1" type="noConversion"/>
  </si>
  <si>
    <t>244서5234</t>
    <phoneticPr fontId="1" type="noConversion"/>
  </si>
  <si>
    <t>생태연구부</t>
    <phoneticPr fontId="1" type="noConversion"/>
  </si>
  <si>
    <t>최정민</t>
    <phoneticPr fontId="1" type="noConversion"/>
  </si>
  <si>
    <t>58소6144</t>
    <phoneticPr fontId="1" type="noConversion"/>
  </si>
  <si>
    <t>57오6500</t>
    <phoneticPr fontId="1" type="noConversion"/>
  </si>
  <si>
    <t>최정민(배우자)</t>
    <phoneticPr fontId="1" type="noConversion"/>
  </si>
  <si>
    <t>해양정책연구센터</t>
    <phoneticPr fontId="1" type="noConversion"/>
  </si>
  <si>
    <t>문한솔</t>
    <phoneticPr fontId="1" type="noConversion"/>
  </si>
  <si>
    <t>56더3661</t>
    <phoneticPr fontId="1" type="noConversion"/>
  </si>
  <si>
    <t>이성혁</t>
    <phoneticPr fontId="1" type="noConversion"/>
  </si>
  <si>
    <t>49다9294</t>
    <phoneticPr fontId="1" type="noConversion"/>
  </si>
  <si>
    <t>해양환경연구부</t>
    <phoneticPr fontId="1" type="noConversion"/>
  </si>
  <si>
    <t>한희준</t>
    <phoneticPr fontId="1" type="noConversion"/>
  </si>
  <si>
    <t>135머6614</t>
    <phoneticPr fontId="1" type="noConversion"/>
  </si>
  <si>
    <t>정보보안실</t>
    <phoneticPr fontId="1" type="noConversion"/>
  </si>
  <si>
    <t>김준영</t>
    <phoneticPr fontId="1" type="noConversion"/>
  </si>
  <si>
    <t>43마8248</t>
    <phoneticPr fontId="1" type="noConversion"/>
  </si>
  <si>
    <t>이창화</t>
    <phoneticPr fontId="1" type="noConversion"/>
  </si>
  <si>
    <t>45조1430</t>
    <phoneticPr fontId="1" type="noConversion"/>
  </si>
  <si>
    <t>이진학</t>
    <phoneticPr fontId="1" type="noConversion"/>
  </si>
  <si>
    <t>20무4150</t>
    <phoneticPr fontId="1" type="noConversion"/>
  </si>
  <si>
    <t>시설실</t>
    <phoneticPr fontId="1" type="noConversion"/>
  </si>
  <si>
    <t>최찬원</t>
    <phoneticPr fontId="1" type="noConversion"/>
  </si>
  <si>
    <t>42보2103</t>
    <phoneticPr fontId="1" type="noConversion"/>
  </si>
  <si>
    <t>교대근무자</t>
    <phoneticPr fontId="1" type="noConversion"/>
  </si>
  <si>
    <t>상세사유</t>
    <phoneticPr fontId="1" type="noConversion"/>
  </si>
  <si>
    <t>이종기</t>
    <phoneticPr fontId="1" type="noConversion"/>
  </si>
  <si>
    <t>55서2097</t>
    <phoneticPr fontId="1" type="noConversion"/>
  </si>
  <si>
    <t>이경원</t>
    <phoneticPr fontId="1" type="noConversion"/>
  </si>
  <si>
    <t>27우4909</t>
    <phoneticPr fontId="1" type="noConversion"/>
  </si>
  <si>
    <t>첨단인프라운영센터</t>
    <phoneticPr fontId="1" type="noConversion"/>
  </si>
  <si>
    <t>박준성</t>
    <phoneticPr fontId="1" type="noConversion"/>
  </si>
  <si>
    <t>05마8251</t>
    <phoneticPr fontId="1" type="noConversion"/>
  </si>
  <si>
    <t>안현구</t>
    <phoneticPr fontId="1" type="noConversion"/>
  </si>
  <si>
    <t>47머5803</t>
    <phoneticPr fontId="1" type="noConversion"/>
  </si>
  <si>
    <t>해양위성센터</t>
    <phoneticPr fontId="1" type="noConversion"/>
  </si>
  <si>
    <t>백지연</t>
    <phoneticPr fontId="1" type="noConversion"/>
  </si>
  <si>
    <t>331너7688</t>
    <phoneticPr fontId="1" type="noConversion"/>
  </si>
  <si>
    <t>김한수</t>
    <phoneticPr fontId="1" type="noConversion"/>
  </si>
  <si>
    <t>이다빈</t>
    <phoneticPr fontId="1" type="noConversion"/>
  </si>
  <si>
    <t>46버1447</t>
    <phoneticPr fontId="1" type="noConversion"/>
  </si>
  <si>
    <t>이현주</t>
    <phoneticPr fontId="1" type="noConversion"/>
  </si>
  <si>
    <t>이수찬</t>
    <phoneticPr fontId="1" type="noConversion"/>
  </si>
  <si>
    <t>67러8503</t>
    <phoneticPr fontId="1" type="noConversion"/>
  </si>
  <si>
    <t>대외협력본부</t>
    <phoneticPr fontId="1" type="noConversion"/>
  </si>
  <si>
    <t>박한산</t>
    <phoneticPr fontId="1" type="noConversion"/>
  </si>
  <si>
    <t>27누9521</t>
    <phoneticPr fontId="1" type="noConversion"/>
  </si>
  <si>
    <t>정희석</t>
    <phoneticPr fontId="1" type="noConversion"/>
  </si>
  <si>
    <t>199오6305</t>
    <phoneticPr fontId="1" type="noConversion"/>
  </si>
  <si>
    <t>김준형</t>
    <phoneticPr fontId="1" type="noConversion"/>
  </si>
  <si>
    <t>43서6584</t>
    <phoneticPr fontId="1" type="noConversion"/>
  </si>
  <si>
    <t>이우진</t>
    <phoneticPr fontId="1" type="noConversion"/>
  </si>
  <si>
    <t>143모8930</t>
    <phoneticPr fontId="1" type="noConversion"/>
  </si>
  <si>
    <t>이동건</t>
    <phoneticPr fontId="1" type="noConversion"/>
  </si>
  <si>
    <t>58고4282</t>
    <phoneticPr fontId="1" type="noConversion"/>
  </si>
  <si>
    <t>최정운</t>
    <phoneticPr fontId="1" type="noConversion"/>
  </si>
  <si>
    <t>208어8124</t>
    <phoneticPr fontId="1" type="noConversion"/>
  </si>
  <si>
    <t>윤보배</t>
    <phoneticPr fontId="1" type="noConversion"/>
  </si>
  <si>
    <t>45무5713</t>
    <phoneticPr fontId="1" type="noConversion"/>
  </si>
  <si>
    <t>허기영</t>
    <phoneticPr fontId="1" type="noConversion"/>
  </si>
  <si>
    <t>331너8407</t>
    <phoneticPr fontId="1" type="noConversion"/>
  </si>
  <si>
    <t>36어0767</t>
    <phoneticPr fontId="1" type="noConversion"/>
  </si>
  <si>
    <t>미래전략연구센터</t>
    <phoneticPr fontId="1" type="noConversion"/>
  </si>
  <si>
    <t>김대선</t>
    <phoneticPr fontId="1" type="noConversion"/>
  </si>
  <si>
    <t>142거1512</t>
    <phoneticPr fontId="1" type="noConversion"/>
  </si>
  <si>
    <t>233어8122</t>
    <phoneticPr fontId="1" type="noConversion"/>
  </si>
  <si>
    <t>복사실</t>
    <phoneticPr fontId="1" type="noConversion"/>
  </si>
  <si>
    <t>박정현</t>
    <phoneticPr fontId="1" type="noConversion"/>
  </si>
  <si>
    <t>30우2854</t>
    <phoneticPr fontId="1" type="noConversion"/>
  </si>
  <si>
    <t>허상도</t>
    <phoneticPr fontId="1" type="noConversion"/>
  </si>
  <si>
    <t>노태근</t>
    <phoneticPr fontId="1" type="noConversion"/>
  </si>
  <si>
    <t>273버7733</t>
    <phoneticPr fontId="1" type="noConversion"/>
  </si>
  <si>
    <t>안신혜</t>
    <phoneticPr fontId="1" type="noConversion"/>
  </si>
  <si>
    <t>53도0716</t>
    <phoneticPr fontId="1" type="noConversion"/>
  </si>
  <si>
    <t>윤영수</t>
    <phoneticPr fontId="1" type="noConversion"/>
  </si>
  <si>
    <t>57저1550</t>
    <phoneticPr fontId="1" type="noConversion"/>
  </si>
  <si>
    <t>제갈명은</t>
    <phoneticPr fontId="1" type="noConversion"/>
  </si>
  <si>
    <t>05하8608</t>
    <phoneticPr fontId="1" type="noConversion"/>
  </si>
  <si>
    <t>서원열</t>
    <phoneticPr fontId="1" type="noConversion"/>
  </si>
  <si>
    <t>38버8104</t>
    <phoneticPr fontId="1" type="noConversion"/>
  </si>
  <si>
    <t>강호종</t>
    <phoneticPr fontId="1" type="noConversion"/>
  </si>
  <si>
    <t>32무9455</t>
    <phoneticPr fontId="1" type="noConversion"/>
  </si>
  <si>
    <t>오지혜</t>
    <phoneticPr fontId="1" type="noConversion"/>
  </si>
  <si>
    <t>51라8609</t>
    <phoneticPr fontId="1" type="noConversion"/>
  </si>
  <si>
    <t>강승원</t>
    <phoneticPr fontId="1" type="noConversion"/>
  </si>
  <si>
    <t>11고5600</t>
    <phoneticPr fontId="1" type="noConversion"/>
  </si>
  <si>
    <t>황규원</t>
    <phoneticPr fontId="1" type="noConversion"/>
  </si>
  <si>
    <t>33나3102</t>
    <phoneticPr fontId="1" type="noConversion"/>
  </si>
  <si>
    <t>해양기후솔루션연구본부</t>
    <phoneticPr fontId="1" type="noConversion"/>
  </si>
  <si>
    <t>지상은</t>
    <phoneticPr fontId="1" type="noConversion"/>
  </si>
  <si>
    <t>31너1640</t>
    <phoneticPr fontId="1" type="noConversion"/>
  </si>
  <si>
    <t>임영균</t>
    <phoneticPr fontId="1" type="noConversion"/>
  </si>
  <si>
    <t>161어5520</t>
    <phoneticPr fontId="1" type="noConversion"/>
  </si>
  <si>
    <t>해양기후예측센터</t>
    <phoneticPr fontId="1" type="noConversion"/>
  </si>
  <si>
    <t>서옥희</t>
    <phoneticPr fontId="1" type="noConversion"/>
  </si>
  <si>
    <t>35수3160</t>
    <phoneticPr fontId="1" type="noConversion"/>
  </si>
  <si>
    <t>황보선</t>
    <phoneticPr fontId="1" type="noConversion"/>
  </si>
  <si>
    <t>21누3875</t>
    <phoneticPr fontId="1" type="noConversion"/>
  </si>
  <si>
    <t>김희준</t>
    <phoneticPr fontId="1" type="noConversion"/>
  </si>
  <si>
    <t>25부4260</t>
    <phoneticPr fontId="1" type="noConversion"/>
  </si>
  <si>
    <t>박혁민</t>
    <phoneticPr fontId="1" type="noConversion"/>
  </si>
  <si>
    <t>119수3460</t>
    <phoneticPr fontId="1" type="noConversion"/>
  </si>
  <si>
    <t>최재완</t>
    <phoneticPr fontId="1" type="noConversion"/>
  </si>
  <si>
    <t>226다3210</t>
    <phoneticPr fontId="1" type="noConversion"/>
  </si>
  <si>
    <t>49더7766</t>
    <phoneticPr fontId="1" type="noConversion"/>
  </si>
  <si>
    <t>고지은</t>
    <phoneticPr fontId="1" type="noConversion"/>
  </si>
  <si>
    <t>41부5760</t>
    <phoneticPr fontId="1" type="noConversion"/>
  </si>
  <si>
    <t>최우창</t>
    <phoneticPr fontId="1" type="noConversion"/>
  </si>
  <si>
    <t>40주5360</t>
    <phoneticPr fontId="1" type="noConversion"/>
  </si>
  <si>
    <t>228더9793</t>
    <phoneticPr fontId="1" type="noConversion"/>
  </si>
  <si>
    <t>160구8015</t>
    <phoneticPr fontId="1" type="noConversion"/>
  </si>
  <si>
    <t>김수빈</t>
    <phoneticPr fontId="1" type="noConversion"/>
  </si>
  <si>
    <t>기숙사거주자</t>
    <phoneticPr fontId="1" type="noConversion"/>
  </si>
  <si>
    <t>191루4379</t>
    <phoneticPr fontId="1" type="noConversion"/>
  </si>
  <si>
    <t>정지원</t>
    <phoneticPr fontId="1" type="noConversion"/>
  </si>
  <si>
    <t>10우0388</t>
    <phoneticPr fontId="1" type="noConversion"/>
  </si>
  <si>
    <t>이균우</t>
    <phoneticPr fontId="1" type="noConversion"/>
  </si>
  <si>
    <t>109두6365</t>
    <phoneticPr fontId="1" type="noConversion"/>
  </si>
  <si>
    <t>총무복지실</t>
    <phoneticPr fontId="1" type="noConversion"/>
  </si>
  <si>
    <t>송한주</t>
    <phoneticPr fontId="1" type="noConversion"/>
  </si>
  <si>
    <t>46조8486</t>
    <phoneticPr fontId="1" type="noConversion"/>
  </si>
  <si>
    <t>기업지원실</t>
    <phoneticPr fontId="1" type="noConversion"/>
  </si>
  <si>
    <t>박노경</t>
    <phoneticPr fontId="1" type="noConversion"/>
  </si>
  <si>
    <t>48마6365</t>
    <phoneticPr fontId="1" type="noConversion"/>
  </si>
  <si>
    <t>AI센터</t>
    <phoneticPr fontId="1" type="noConversion"/>
  </si>
  <si>
    <t>이정석</t>
    <phoneticPr fontId="1" type="noConversion"/>
  </si>
  <si>
    <t>182두2242</t>
    <phoneticPr fontId="1" type="noConversion"/>
  </si>
  <si>
    <t>임산부 유아동승</t>
    <phoneticPr fontId="1" type="noConversion"/>
  </si>
  <si>
    <t>정상훈</t>
    <phoneticPr fontId="1" type="noConversion"/>
  </si>
  <si>
    <t>11나8405</t>
    <phoneticPr fontId="1" type="noConversion"/>
  </si>
  <si>
    <t>모빌리티연구부</t>
    <phoneticPr fontId="1" type="noConversion"/>
  </si>
  <si>
    <t>서정민</t>
    <phoneticPr fontId="1" type="noConversion"/>
  </si>
  <si>
    <t>39도0684</t>
    <phoneticPr fontId="1" type="noConversion"/>
  </si>
  <si>
    <t>박은솔</t>
    <phoneticPr fontId="1" type="noConversion"/>
  </si>
  <si>
    <t>69무8547</t>
    <phoneticPr fontId="1" type="noConversion"/>
  </si>
  <si>
    <t>안재현</t>
    <phoneticPr fontId="1" type="noConversion"/>
  </si>
  <si>
    <t>26저9122</t>
    <phoneticPr fontId="1" type="noConversion"/>
  </si>
  <si>
    <t>주현희</t>
    <phoneticPr fontId="1" type="noConversion"/>
  </si>
  <si>
    <t>49수0236</t>
    <phoneticPr fontId="1" type="noConversion"/>
  </si>
  <si>
    <t>안응모</t>
    <phoneticPr fontId="1" type="noConversion"/>
  </si>
  <si>
    <t>03로0614</t>
    <phoneticPr fontId="1" type="noConversion"/>
  </si>
  <si>
    <t>김민상</t>
    <phoneticPr fontId="1" type="noConversion"/>
  </si>
  <si>
    <t>강상우</t>
    <phoneticPr fontId="1" type="noConversion"/>
  </si>
  <si>
    <t>63라6601</t>
    <phoneticPr fontId="1" type="noConversion"/>
  </si>
  <si>
    <t>김민석</t>
    <phoneticPr fontId="1" type="noConversion"/>
  </si>
  <si>
    <t>12수2163</t>
    <phoneticPr fontId="1" type="noConversion"/>
  </si>
  <si>
    <t>안전보건실</t>
    <phoneticPr fontId="1" type="noConversion"/>
  </si>
  <si>
    <t>양서희</t>
    <phoneticPr fontId="1" type="noConversion"/>
  </si>
  <si>
    <t>190러1328</t>
    <phoneticPr fontId="1" type="noConversion"/>
  </si>
  <si>
    <t>조원용</t>
    <phoneticPr fontId="1" type="noConversion"/>
  </si>
  <si>
    <t>47모4977</t>
    <phoneticPr fontId="1" type="noConversion"/>
  </si>
  <si>
    <t>서종찬</t>
    <phoneticPr fontId="1" type="noConversion"/>
  </si>
  <si>
    <t>145주6806</t>
    <phoneticPr fontId="1" type="noConversion"/>
  </si>
  <si>
    <t>정순제</t>
    <phoneticPr fontId="1" type="noConversion"/>
  </si>
  <si>
    <t>정섬규</t>
    <phoneticPr fontId="1" type="noConversion"/>
  </si>
  <si>
    <t>31고7684</t>
    <phoneticPr fontId="1" type="noConversion"/>
  </si>
  <si>
    <t>김경순</t>
    <phoneticPr fontId="1" type="noConversion"/>
  </si>
  <si>
    <t>미화</t>
    <phoneticPr fontId="1" type="noConversion"/>
  </si>
  <si>
    <t>30라9600</t>
    <phoneticPr fontId="1" type="noConversion"/>
  </si>
  <si>
    <t>김명임</t>
    <phoneticPr fontId="1" type="noConversion"/>
  </si>
  <si>
    <t>39루2967</t>
    <phoneticPr fontId="1" type="noConversion"/>
  </si>
  <si>
    <t>김민수</t>
    <phoneticPr fontId="1" type="noConversion"/>
  </si>
  <si>
    <t>65버4363</t>
    <phoneticPr fontId="1" type="noConversion"/>
  </si>
  <si>
    <t>김영란</t>
    <phoneticPr fontId="1" type="noConversion"/>
  </si>
  <si>
    <t>149다9899</t>
    <phoneticPr fontId="1" type="noConversion"/>
  </si>
  <si>
    <t>김혜선</t>
    <phoneticPr fontId="1" type="noConversion"/>
  </si>
  <si>
    <t>155서9961</t>
    <phoneticPr fontId="1" type="noConversion"/>
  </si>
  <si>
    <t>박정애</t>
    <phoneticPr fontId="1" type="noConversion"/>
  </si>
  <si>
    <t>40수4448</t>
    <phoneticPr fontId="1" type="noConversion"/>
  </si>
  <si>
    <t>이애숙</t>
    <phoneticPr fontId="1" type="noConversion"/>
  </si>
  <si>
    <t>148주1908</t>
    <phoneticPr fontId="1" type="noConversion"/>
  </si>
  <si>
    <t>이인철</t>
    <phoneticPr fontId="1" type="noConversion"/>
  </si>
  <si>
    <t>90누1484</t>
    <phoneticPr fontId="1" type="noConversion"/>
  </si>
  <si>
    <t>전수용</t>
    <phoneticPr fontId="1" type="noConversion"/>
  </si>
  <si>
    <t>41어5294</t>
    <phoneticPr fontId="1" type="noConversion"/>
  </si>
  <si>
    <t>이진용</t>
    <phoneticPr fontId="1" type="noConversion"/>
  </si>
  <si>
    <t>07구3198</t>
    <phoneticPr fontId="1" type="noConversion"/>
  </si>
  <si>
    <t>이경상</t>
    <phoneticPr fontId="1" type="noConversion"/>
  </si>
  <si>
    <t>227무2907</t>
    <phoneticPr fontId="1" type="noConversion"/>
  </si>
  <si>
    <t>예산실</t>
    <phoneticPr fontId="1" type="noConversion"/>
  </si>
  <si>
    <t>윤서나</t>
    <phoneticPr fontId="1" type="noConversion"/>
  </si>
  <si>
    <t>59마6096</t>
    <phoneticPr fontId="1" type="noConversion"/>
  </si>
  <si>
    <t>390두9475</t>
    <phoneticPr fontId="1" type="noConversion"/>
  </si>
  <si>
    <t>비표 발급</t>
    <phoneticPr fontId="1" type="noConversion"/>
  </si>
  <si>
    <t>김지원</t>
    <phoneticPr fontId="1" type="noConversion"/>
  </si>
  <si>
    <t>구매자산실</t>
    <phoneticPr fontId="1" type="noConversion"/>
  </si>
  <si>
    <t>181모8197</t>
    <phoneticPr fontId="1" type="noConversion"/>
  </si>
  <si>
    <t>문중호</t>
    <phoneticPr fontId="1" type="noConversion"/>
  </si>
  <si>
    <t>글로벌협력실</t>
    <phoneticPr fontId="1" type="noConversion"/>
  </si>
  <si>
    <t>17머8882</t>
    <phoneticPr fontId="1" type="noConversion"/>
  </si>
  <si>
    <t>박소희</t>
    <phoneticPr fontId="1" type="noConversion"/>
  </si>
  <si>
    <t>49서7904</t>
    <phoneticPr fontId="1" type="noConversion"/>
  </si>
  <si>
    <t>차재봉</t>
    <phoneticPr fontId="1" type="noConversion"/>
  </si>
  <si>
    <t>기획실</t>
    <phoneticPr fontId="1" type="noConversion"/>
  </si>
  <si>
    <t>01노3392</t>
    <phoneticPr fontId="1" type="noConversion"/>
  </si>
  <si>
    <t>김은비</t>
    <phoneticPr fontId="1" type="noConversion"/>
  </si>
  <si>
    <t>252소9758</t>
    <phoneticPr fontId="1" type="noConversion"/>
  </si>
  <si>
    <t>서지혜</t>
    <phoneticPr fontId="1" type="noConversion"/>
  </si>
  <si>
    <t>임산부</t>
    <phoneticPr fontId="1" type="noConversion"/>
  </si>
  <si>
    <t>354마7367</t>
    <phoneticPr fontId="1" type="noConversion"/>
  </si>
  <si>
    <t>장덕희</t>
    <phoneticPr fontId="1" type="noConversion"/>
  </si>
  <si>
    <t>307구8664</t>
    <phoneticPr fontId="1" type="noConversion"/>
  </si>
  <si>
    <t>57주3248</t>
    <phoneticPr fontId="1" type="noConversion"/>
  </si>
  <si>
    <t>김수관</t>
    <phoneticPr fontId="1" type="noConversion"/>
  </si>
  <si>
    <t>21가2983</t>
    <phoneticPr fontId="1" type="noConversion"/>
  </si>
  <si>
    <t>황초롱</t>
    <phoneticPr fontId="1" type="noConversion"/>
  </si>
  <si>
    <t>32다8624</t>
    <phoneticPr fontId="1" type="noConversion"/>
  </si>
  <si>
    <t>이철용</t>
    <phoneticPr fontId="1" type="noConversion"/>
  </si>
  <si>
    <t>01버6646</t>
    <phoneticPr fontId="1" type="noConversion"/>
  </si>
  <si>
    <t>권개경</t>
    <phoneticPr fontId="1" type="noConversion"/>
  </si>
  <si>
    <t>209로8554</t>
    <phoneticPr fontId="1" type="noConversion"/>
  </si>
  <si>
    <t>해양순환자원연구부</t>
    <phoneticPr fontId="1" type="noConversion"/>
  </si>
  <si>
    <t>최동문</t>
    <phoneticPr fontId="1" type="noConversion"/>
  </si>
  <si>
    <t>68머1207</t>
    <phoneticPr fontId="1" type="noConversion"/>
  </si>
  <si>
    <t>김경옥</t>
    <phoneticPr fontId="1" type="noConversion"/>
  </si>
  <si>
    <t>03머6573</t>
    <phoneticPr fontId="1" type="noConversion"/>
  </si>
  <si>
    <t>서성봉</t>
    <phoneticPr fontId="1" type="noConversion"/>
  </si>
  <si>
    <t>309머2387</t>
    <phoneticPr fontId="1" type="noConversion"/>
  </si>
  <si>
    <t>해양인프라지원팀</t>
    <phoneticPr fontId="1" type="noConversion"/>
  </si>
  <si>
    <t>천지혜</t>
    <phoneticPr fontId="1" type="noConversion"/>
  </si>
  <si>
    <t>11주1217</t>
    <phoneticPr fontId="1" type="noConversion"/>
  </si>
  <si>
    <t>이재익</t>
    <phoneticPr fontId="1" type="noConversion"/>
  </si>
  <si>
    <t>34거7224</t>
    <phoneticPr fontId="1" type="noConversion"/>
  </si>
  <si>
    <t>남성모</t>
    <phoneticPr fontId="1" type="noConversion"/>
  </si>
  <si>
    <t>01무5934</t>
    <phoneticPr fontId="1" type="noConversion"/>
  </si>
  <si>
    <t>박근하</t>
    <phoneticPr fontId="1" type="noConversion"/>
  </si>
  <si>
    <t>33더2738</t>
    <phoneticPr fontId="1" type="noConversion"/>
  </si>
  <si>
    <t>391보3585</t>
    <phoneticPr fontId="1" type="noConversion"/>
  </si>
  <si>
    <t>취약계층</t>
    <phoneticPr fontId="1" type="noConversion"/>
  </si>
  <si>
    <t>진단서 제출</t>
    <phoneticPr fontId="1" type="noConversion"/>
  </si>
  <si>
    <t>문성호</t>
    <phoneticPr fontId="1" type="noConversion"/>
  </si>
  <si>
    <t>59소0868</t>
    <phoneticPr fontId="1" type="noConversion"/>
  </si>
  <si>
    <t>238다5716</t>
    <phoneticPr fontId="1" type="noConversion"/>
  </si>
  <si>
    <t>68보3694</t>
    <phoneticPr fontId="1" type="noConversion"/>
  </si>
  <si>
    <t>390두9446</t>
    <phoneticPr fontId="1" type="noConversion"/>
  </si>
  <si>
    <t>환경연구본부</t>
    <phoneticPr fontId="1" type="noConversion"/>
  </si>
  <si>
    <t>이선희</t>
    <phoneticPr fontId="1" type="noConversion"/>
  </si>
  <si>
    <t>51보2246</t>
    <phoneticPr fontId="1" type="noConversion"/>
  </si>
  <si>
    <t>정승하</t>
    <phoneticPr fontId="1" type="noConversion"/>
  </si>
  <si>
    <t>54러8955</t>
    <phoneticPr fontId="1" type="noConversion"/>
  </si>
  <si>
    <t>오세라</t>
    <phoneticPr fontId="1" type="noConversion"/>
  </si>
  <si>
    <t>최옥임</t>
    <phoneticPr fontId="1" type="noConversion"/>
  </si>
  <si>
    <t>신창주</t>
    <phoneticPr fontId="1" type="noConversion"/>
  </si>
  <si>
    <t>김일수</t>
    <phoneticPr fontId="1" type="noConversion"/>
  </si>
  <si>
    <t>노지영</t>
    <phoneticPr fontId="1" type="noConversion"/>
  </si>
  <si>
    <t>152주8420</t>
    <phoneticPr fontId="1" type="noConversion"/>
  </si>
  <si>
    <t>만동우</t>
    <phoneticPr fontId="1" type="noConversion"/>
  </si>
  <si>
    <t>49서1329</t>
    <phoneticPr fontId="1" type="noConversion"/>
  </si>
  <si>
    <t>문혜진</t>
    <phoneticPr fontId="1" type="noConversion"/>
  </si>
  <si>
    <t>02무7858</t>
    <phoneticPr fontId="1" type="noConversion"/>
  </si>
  <si>
    <t>61라4643</t>
    <phoneticPr fontId="1" type="noConversion"/>
  </si>
  <si>
    <t>조명수</t>
    <phoneticPr fontId="1" type="noConversion"/>
  </si>
  <si>
    <t>11누3437</t>
    <phoneticPr fontId="1" type="noConversion"/>
  </si>
  <si>
    <t>강나연</t>
    <phoneticPr fontId="1" type="noConversion"/>
  </si>
  <si>
    <t>279고2266</t>
    <phoneticPr fontId="1" type="noConversion"/>
  </si>
  <si>
    <t>179보2001</t>
    <phoneticPr fontId="1" type="noConversion"/>
  </si>
  <si>
    <t>노주철</t>
    <phoneticPr fontId="1" type="noConversion"/>
  </si>
  <si>
    <t>283모3041</t>
    <phoneticPr fontId="1" type="noConversion"/>
  </si>
  <si>
    <t>49마0986</t>
    <phoneticPr fontId="1" type="noConversion"/>
  </si>
  <si>
    <t>윤나정</t>
    <phoneticPr fontId="1" type="noConversion"/>
  </si>
  <si>
    <t>135구3097</t>
    <phoneticPr fontId="1" type="noConversion"/>
  </si>
  <si>
    <t>이춘금</t>
    <phoneticPr fontId="1" type="noConversion"/>
  </si>
  <si>
    <t>397무2199</t>
    <phoneticPr fontId="1" type="noConversion"/>
  </si>
  <si>
    <t>서경덕</t>
    <phoneticPr fontId="1" type="noConversion"/>
  </si>
  <si>
    <t>333구2961</t>
    <phoneticPr fontId="1" type="noConversion"/>
  </si>
  <si>
    <t>신아영</t>
    <phoneticPr fontId="1" type="noConversion"/>
  </si>
  <si>
    <t>373모5585</t>
    <phoneticPr fontId="1" type="noConversion"/>
  </si>
  <si>
    <t>지호윤</t>
    <phoneticPr fontId="1" type="noConversion"/>
  </si>
  <si>
    <t>182부7570</t>
    <phoneticPr fontId="1" type="noConversion"/>
  </si>
  <si>
    <t>홍보문화실</t>
    <phoneticPr fontId="1" type="noConversion"/>
  </si>
  <si>
    <t>이종현</t>
    <phoneticPr fontId="1" type="noConversion"/>
  </si>
  <si>
    <t>174서6633</t>
    <phoneticPr fontId="1" type="noConversion"/>
  </si>
  <si>
    <t>최선기</t>
    <phoneticPr fontId="1" type="noConversion"/>
  </si>
  <si>
    <t>68모2601</t>
    <phoneticPr fontId="1" type="noConversion"/>
  </si>
  <si>
    <t>방위연구부</t>
    <phoneticPr fontId="1" type="noConversion"/>
  </si>
  <si>
    <t>이승훈</t>
    <phoneticPr fontId="1" type="noConversion"/>
  </si>
  <si>
    <t>ㅇ</t>
    <phoneticPr fontId="1" type="noConversion"/>
  </si>
  <si>
    <t>권순열</t>
    <phoneticPr fontId="1" type="noConversion"/>
  </si>
  <si>
    <t>디앤디아이티</t>
    <phoneticPr fontId="1" type="noConversion"/>
  </si>
  <si>
    <t>유덕용</t>
    <phoneticPr fontId="1" type="noConversion"/>
  </si>
  <si>
    <t>343구1320</t>
    <phoneticPr fontId="1" type="noConversion"/>
  </si>
  <si>
    <t>유세현</t>
    <phoneticPr fontId="1" type="noConversion"/>
  </si>
  <si>
    <t>이지훈</t>
    <phoneticPr fontId="1" type="noConversion"/>
  </si>
  <si>
    <t>26수5996</t>
    <phoneticPr fontId="1" type="noConversion"/>
  </si>
  <si>
    <t>56저5941</t>
    <phoneticPr fontId="1" type="noConversion"/>
  </si>
  <si>
    <t>한국해양과학기술원</t>
    <phoneticPr fontId="1" type="noConversion"/>
  </si>
  <si>
    <t>원장</t>
    <phoneticPr fontId="1" type="noConversion"/>
  </si>
  <si>
    <t>감사</t>
    <phoneticPr fontId="1" type="noConversion"/>
  </si>
  <si>
    <t>부원장</t>
    <phoneticPr fontId="1" type="noConversion"/>
  </si>
  <si>
    <t>우편</t>
    <phoneticPr fontId="1" type="noConversion"/>
  </si>
  <si>
    <t>181호1175</t>
    <phoneticPr fontId="1" type="noConversion"/>
  </si>
  <si>
    <t>181호1176</t>
    <phoneticPr fontId="1" type="noConversion"/>
  </si>
  <si>
    <t>05호3896</t>
    <phoneticPr fontId="1" type="noConversion"/>
  </si>
  <si>
    <t>05호6352</t>
    <phoneticPr fontId="1" type="noConversion"/>
  </si>
  <si>
    <t>258서4093</t>
    <phoneticPr fontId="1" type="noConversion"/>
  </si>
  <si>
    <t>ㅇ</t>
    <phoneticPr fontId="1" type="noConversion"/>
  </si>
  <si>
    <t>연구관리실</t>
    <phoneticPr fontId="1" type="noConversion"/>
  </si>
  <si>
    <t>정연우</t>
    <phoneticPr fontId="1" type="noConversion"/>
  </si>
  <si>
    <t>58소6920</t>
    <phoneticPr fontId="1" type="noConversion"/>
  </si>
  <si>
    <t>2026.03.30.</t>
    <phoneticPr fontId="1" type="noConversion"/>
  </si>
  <si>
    <t>경영정보실</t>
    <phoneticPr fontId="1" type="noConversion"/>
  </si>
  <si>
    <t>최헌회</t>
    <phoneticPr fontId="1" type="noConversion"/>
  </si>
  <si>
    <t>16가4102</t>
    <phoneticPr fontId="1" type="noConversion"/>
  </si>
  <si>
    <t>생태연구부</t>
    <phoneticPr fontId="1" type="noConversion"/>
  </si>
  <si>
    <t>이수환</t>
    <phoneticPr fontId="1" type="noConversion"/>
  </si>
  <si>
    <t>52우0494</t>
    <phoneticPr fontId="1" type="noConversion"/>
  </si>
  <si>
    <t>ㅇ</t>
    <phoneticPr fontId="1" type="noConversion"/>
  </si>
  <si>
    <t>해양위성센터</t>
    <phoneticPr fontId="1" type="noConversion"/>
  </si>
  <si>
    <t>한태현</t>
    <phoneticPr fontId="1" type="noConversion"/>
  </si>
  <si>
    <t>18고2438</t>
    <phoneticPr fontId="1" type="noConversion"/>
  </si>
  <si>
    <t>끝번호</t>
    <phoneticPr fontId="1" type="noConversion"/>
  </si>
  <si>
    <t>기간</t>
    <phoneticPr fontId="1" type="noConversion"/>
  </si>
  <si>
    <t>2026.03.25.-2026.12.31.</t>
    <phoneticPr fontId="1" type="noConversion"/>
  </si>
  <si>
    <t>심훈섭</t>
    <phoneticPr fontId="1" type="noConversion"/>
  </si>
  <si>
    <t>기타</t>
    <phoneticPr fontId="1" type="noConversion"/>
  </si>
  <si>
    <t>26부8516</t>
    <phoneticPr fontId="1" type="noConversion"/>
  </si>
  <si>
    <t>2026.03.25.-2026.04.30.</t>
    <phoneticPr fontId="1" type="noConversion"/>
  </si>
  <si>
    <t>김유진</t>
    <phoneticPr fontId="1" type="noConversion"/>
  </si>
  <si>
    <t>22무7241</t>
    <phoneticPr fontId="1" type="noConversion"/>
  </si>
  <si>
    <t>홍보문화실</t>
    <phoneticPr fontId="1" type="noConversion"/>
  </si>
  <si>
    <t>김소연</t>
    <phoneticPr fontId="1" type="noConversion"/>
  </si>
  <si>
    <t>유아동승</t>
    <phoneticPr fontId="1" type="noConversion"/>
  </si>
  <si>
    <t>21고2404</t>
    <phoneticPr fontId="1" type="noConversion"/>
  </si>
  <si>
    <t>우리아이티</t>
    <phoneticPr fontId="1" type="noConversion"/>
  </si>
  <si>
    <t>황이랑</t>
    <phoneticPr fontId="1" type="noConversion"/>
  </si>
  <si>
    <t>07루4525</t>
    <phoneticPr fontId="1" type="noConversion"/>
  </si>
  <si>
    <t>김민</t>
    <phoneticPr fontId="1" type="noConversion"/>
  </si>
  <si>
    <t>50가7272</t>
    <phoneticPr fontId="1" type="noConversion"/>
  </si>
  <si>
    <t>에너지연구부</t>
    <phoneticPr fontId="1" type="noConversion"/>
  </si>
  <si>
    <t>허만웅</t>
    <phoneticPr fontId="1" type="noConversion"/>
  </si>
  <si>
    <t>26구1135</t>
    <phoneticPr fontId="1" type="noConversion"/>
  </si>
  <si>
    <t>63부8669</t>
    <phoneticPr fontId="1" type="noConversion"/>
  </si>
  <si>
    <t>대양자원연구부</t>
    <phoneticPr fontId="1" type="noConversion"/>
  </si>
  <si>
    <t>서연지</t>
    <phoneticPr fontId="1" type="noConversion"/>
  </si>
  <si>
    <t>06나3445</t>
    <phoneticPr fontId="1" type="noConversion"/>
  </si>
  <si>
    <t>김충호</t>
    <phoneticPr fontId="1" type="noConversion"/>
  </si>
  <si>
    <t>250구8643</t>
    <phoneticPr fontId="1" type="noConversion"/>
  </si>
  <si>
    <t>구매자산실</t>
    <phoneticPr fontId="1" type="noConversion"/>
  </si>
  <si>
    <t>심문영</t>
    <phoneticPr fontId="1" type="noConversion"/>
  </si>
  <si>
    <t>17버1568</t>
    <phoneticPr fontId="1" type="noConversion"/>
  </si>
  <si>
    <t>해양기후예측센터</t>
    <phoneticPr fontId="1" type="noConversion"/>
  </si>
  <si>
    <t>신지윤</t>
    <phoneticPr fontId="1" type="noConversion"/>
  </si>
  <si>
    <t>377가2329</t>
    <phoneticPr fontId="1" type="noConversion"/>
  </si>
  <si>
    <t>158저4600</t>
    <phoneticPr fontId="1" type="noConversion"/>
  </si>
  <si>
    <t>생태연구부</t>
    <phoneticPr fontId="1" type="noConversion"/>
  </si>
  <si>
    <t>이호원</t>
    <phoneticPr fontId="1" type="noConversion"/>
  </si>
  <si>
    <t>13루1789</t>
    <phoneticPr fontId="1" type="noConversion"/>
  </si>
  <si>
    <t>온누리호</t>
    <phoneticPr fontId="1" type="noConversion"/>
  </si>
  <si>
    <t>홍영기</t>
    <phoneticPr fontId="1" type="noConversion"/>
  </si>
  <si>
    <t>69로1038</t>
    <phoneticPr fontId="1" type="noConversion"/>
  </si>
  <si>
    <t>258부5181</t>
    <phoneticPr fontId="1" type="noConversion"/>
  </si>
  <si>
    <t>65조3963</t>
    <phoneticPr fontId="1" type="noConversion"/>
  </si>
  <si>
    <t>해양재난연구부</t>
    <phoneticPr fontId="1" type="noConversion"/>
  </si>
  <si>
    <t>민용침</t>
    <phoneticPr fontId="1" type="noConversion"/>
  </si>
  <si>
    <t>유아동승</t>
    <phoneticPr fontId="1" type="noConversion"/>
  </si>
  <si>
    <t>24머6198</t>
    <phoneticPr fontId="1" type="noConversion"/>
  </si>
  <si>
    <t>해양신산업연구본부</t>
    <phoneticPr fontId="1" type="noConversion"/>
  </si>
  <si>
    <t>남지영</t>
    <phoneticPr fontId="1" type="noConversion"/>
  </si>
  <si>
    <t>13루0668</t>
    <phoneticPr fontId="1" type="noConversion"/>
  </si>
  <si>
    <t>ㅇ</t>
    <phoneticPr fontId="1" type="noConversion"/>
  </si>
  <si>
    <t>해양법연구부</t>
    <phoneticPr fontId="1" type="noConversion"/>
  </si>
  <si>
    <t>김은환</t>
    <phoneticPr fontId="1" type="noConversion"/>
  </si>
  <si>
    <t>39머7010</t>
    <phoneticPr fontId="1" type="noConversion"/>
  </si>
  <si>
    <t>방위연구부</t>
    <phoneticPr fontId="1" type="noConversion"/>
  </si>
  <si>
    <t>김성현</t>
    <phoneticPr fontId="1" type="noConversion"/>
  </si>
  <si>
    <t>기타</t>
    <phoneticPr fontId="1" type="noConversion"/>
  </si>
  <si>
    <t>출장 업무 사용</t>
    <phoneticPr fontId="1" type="noConversion"/>
  </si>
  <si>
    <t>108고6273</t>
    <phoneticPr fontId="1" type="noConversion"/>
  </si>
  <si>
    <t>2026.03.31.</t>
    <phoneticPr fontId="1" type="noConversion"/>
  </si>
  <si>
    <t>2026.03.26.</t>
    <phoneticPr fontId="1" type="noConversion"/>
  </si>
  <si>
    <t>2026.03.27.</t>
    <phoneticPr fontId="1" type="noConversion"/>
  </si>
  <si>
    <t>부원장실</t>
    <phoneticPr fontId="1" type="noConversion"/>
  </si>
  <si>
    <t>신민주</t>
    <phoneticPr fontId="1" type="noConversion"/>
  </si>
  <si>
    <t>03오5655</t>
    <phoneticPr fontId="1" type="noConversion"/>
  </si>
  <si>
    <t>에너지연구부</t>
    <phoneticPr fontId="1" type="noConversion"/>
  </si>
  <si>
    <t>고동휘</t>
    <phoneticPr fontId="1" type="noConversion"/>
  </si>
  <si>
    <t>유아동승</t>
    <phoneticPr fontId="1" type="noConversion"/>
  </si>
  <si>
    <t>16수2839</t>
    <phoneticPr fontId="1" type="noConversion"/>
  </si>
  <si>
    <t>안전보건실</t>
    <phoneticPr fontId="1" type="noConversion"/>
  </si>
  <si>
    <t>이경훈</t>
    <phoneticPr fontId="1" type="noConversion"/>
  </si>
  <si>
    <t>기타</t>
    <phoneticPr fontId="1" type="noConversion"/>
  </si>
  <si>
    <t>소방안전관리 긴급출동차량</t>
    <phoneticPr fontId="1" type="noConversion"/>
  </si>
  <si>
    <t>49버6895</t>
    <phoneticPr fontId="1" type="noConversion"/>
  </si>
  <si>
    <t>이욱재</t>
    <phoneticPr fontId="1" type="noConversion"/>
  </si>
  <si>
    <t>369부9188</t>
    <phoneticPr fontId="1" type="noConversion"/>
  </si>
  <si>
    <t>해양순환기후연구부</t>
    <phoneticPr fontId="1" type="noConversion"/>
  </si>
  <si>
    <t>장인성</t>
    <phoneticPr fontId="1" type="noConversion"/>
  </si>
  <si>
    <t>63보9678</t>
    <phoneticPr fontId="1" type="noConversion"/>
  </si>
  <si>
    <t>인사관리실</t>
    <phoneticPr fontId="1" type="noConversion"/>
  </si>
  <si>
    <t>류창현</t>
    <phoneticPr fontId="1" type="noConversion"/>
  </si>
  <si>
    <t>36모0954</t>
    <phoneticPr fontId="1" type="noConversion"/>
  </si>
  <si>
    <t>해양환경연구부</t>
    <phoneticPr fontId="1" type="noConversion"/>
  </si>
  <si>
    <t>백은란</t>
    <phoneticPr fontId="1" type="noConversion"/>
  </si>
  <si>
    <t>기숙자거주자</t>
    <phoneticPr fontId="1" type="noConversion"/>
  </si>
  <si>
    <t>261소1621</t>
    <phoneticPr fontId="1" type="noConversion"/>
  </si>
  <si>
    <t>생태연구부</t>
    <phoneticPr fontId="1" type="noConversion"/>
  </si>
  <si>
    <t>권유진</t>
    <phoneticPr fontId="1" type="noConversion"/>
  </si>
  <si>
    <t>211수8202</t>
    <phoneticPr fontId="1" type="noConversion"/>
  </si>
  <si>
    <t>60러7698</t>
    <phoneticPr fontId="1" type="noConversion"/>
  </si>
  <si>
    <t>175보1939</t>
    <phoneticPr fontId="1" type="noConversion"/>
  </si>
  <si>
    <t>부원장실</t>
    <phoneticPr fontId="1" type="noConversion"/>
  </si>
  <si>
    <t>임영락</t>
    <phoneticPr fontId="1" type="noConversion"/>
  </si>
  <si>
    <t>212더4024</t>
    <phoneticPr fontId="1" type="noConversion"/>
  </si>
  <si>
    <t>정상기</t>
    <phoneticPr fontId="1" type="noConversion"/>
  </si>
  <si>
    <t>17어5648</t>
    <phoneticPr fontId="1" type="noConversion"/>
  </si>
  <si>
    <t>23무3117</t>
    <phoneticPr fontId="1" type="noConversion"/>
  </si>
  <si>
    <t>AI센터</t>
    <phoneticPr fontId="1" type="noConversion"/>
  </si>
  <si>
    <t>이기섭</t>
    <phoneticPr fontId="1" type="noConversion"/>
  </si>
  <si>
    <t>378로6321</t>
    <phoneticPr fontId="1" type="noConversion"/>
  </si>
  <si>
    <t>총무복지실</t>
    <phoneticPr fontId="1" type="noConversion"/>
  </si>
  <si>
    <t>채세종</t>
    <phoneticPr fontId="1" type="noConversion"/>
  </si>
  <si>
    <t>기타</t>
    <phoneticPr fontId="1" type="noConversion"/>
  </si>
  <si>
    <t>113수2559</t>
    <phoneticPr fontId="1" type="noConversion"/>
  </si>
  <si>
    <t>공무 사용 차량</t>
    <phoneticPr fontId="1" type="noConversion"/>
  </si>
  <si>
    <t>권주안</t>
    <phoneticPr fontId="1" type="noConversion"/>
  </si>
  <si>
    <t>26무 7314</t>
    <phoneticPr fontId="1" type="noConversion"/>
  </si>
  <si>
    <t>2026.04.01.</t>
    <phoneticPr fontId="1" type="noConversion"/>
  </si>
  <si>
    <t>해양공간개발에너지연구부</t>
    <phoneticPr fontId="1" type="noConversion"/>
  </si>
  <si>
    <t>정재호</t>
    <phoneticPr fontId="1" type="noConversion"/>
  </si>
  <si>
    <t>55루 5109</t>
    <phoneticPr fontId="1" type="noConversion"/>
  </si>
  <si>
    <t>36모0654</t>
    <phoneticPr fontId="1" type="noConversion"/>
  </si>
  <si>
    <t>ㅇ</t>
    <phoneticPr fontId="1" type="noConversion"/>
  </si>
  <si>
    <t>해양재난연구부</t>
    <phoneticPr fontId="1" type="noConversion"/>
  </si>
  <si>
    <t>박숭환</t>
    <phoneticPr fontId="1" type="noConversion"/>
  </si>
  <si>
    <t>346보3576</t>
    <phoneticPr fontId="1" type="noConversion"/>
  </si>
  <si>
    <t>원장</t>
    <phoneticPr fontId="1" type="noConversion"/>
  </si>
  <si>
    <t>류채화</t>
    <phoneticPr fontId="1" type="noConversion"/>
  </si>
  <si>
    <t>31조1814</t>
    <phoneticPr fontId="1" type="noConversion"/>
  </si>
  <si>
    <t>28부7903</t>
    <phoneticPr fontId="1" type="noConversion"/>
  </si>
  <si>
    <t>해양생명자원연구부</t>
    <phoneticPr fontId="1" type="noConversion"/>
  </si>
  <si>
    <t>신승민</t>
    <phoneticPr fontId="1" type="noConversion"/>
  </si>
  <si>
    <t>24소5663</t>
    <phoneticPr fontId="1" type="noConversion"/>
  </si>
  <si>
    <t>정재우</t>
    <phoneticPr fontId="1" type="noConversion"/>
  </si>
  <si>
    <t>126노1273</t>
    <phoneticPr fontId="1" type="noConversion"/>
  </si>
  <si>
    <t>에너지연구부</t>
    <phoneticPr fontId="1" type="noConversion"/>
  </si>
  <si>
    <t>최영진</t>
    <phoneticPr fontId="1" type="noConversion"/>
  </si>
  <si>
    <t>01무2548</t>
    <phoneticPr fontId="1" type="noConversion"/>
  </si>
  <si>
    <t>대외협력본부</t>
    <phoneticPr fontId="1" type="noConversion"/>
  </si>
  <si>
    <t>유주형</t>
    <phoneticPr fontId="1" type="noConversion"/>
  </si>
  <si>
    <t>61모4956</t>
    <phoneticPr fontId="1" type="noConversion"/>
  </si>
  <si>
    <t>유제선</t>
    <phoneticPr fontId="1" type="noConversion"/>
  </si>
  <si>
    <t>212너5477</t>
    <phoneticPr fontId="1" type="noConversion"/>
  </si>
  <si>
    <t>기획실</t>
    <phoneticPr fontId="1" type="noConversion"/>
  </si>
  <si>
    <t>임영진</t>
    <phoneticPr fontId="1" type="noConversion"/>
  </si>
  <si>
    <t>240노5135</t>
    <phoneticPr fontId="1" type="noConversion"/>
  </si>
  <si>
    <t>시설실</t>
    <phoneticPr fontId="1" type="noConversion"/>
  </si>
  <si>
    <t>허호창</t>
    <phoneticPr fontId="1" type="noConversion"/>
  </si>
  <si>
    <t>13너7674</t>
    <phoneticPr fontId="1" type="noConversion"/>
  </si>
  <si>
    <t>모빌리티연구부</t>
    <phoneticPr fontId="1" type="noConversion"/>
  </si>
  <si>
    <t>김도영</t>
    <phoneticPr fontId="1" type="noConversion"/>
  </si>
  <si>
    <t>152도4796</t>
    <phoneticPr fontId="1" type="noConversion"/>
  </si>
  <si>
    <t>2026.04.02.</t>
    <phoneticPr fontId="1" type="noConversion"/>
  </si>
  <si>
    <t>영도구장애인복지관</t>
    <phoneticPr fontId="1" type="noConversion"/>
  </si>
  <si>
    <t>주현정</t>
    <phoneticPr fontId="1" type="noConversion"/>
  </si>
  <si>
    <t>기타</t>
    <phoneticPr fontId="1" type="noConversion"/>
  </si>
  <si>
    <t>영도장애인복지관 업무차량</t>
    <phoneticPr fontId="1" type="noConversion"/>
  </si>
  <si>
    <t>58나9391</t>
    <phoneticPr fontId="1" type="noConversion"/>
  </si>
  <si>
    <t>기업지원실</t>
    <phoneticPr fontId="1" type="noConversion"/>
  </si>
  <si>
    <t>윤지혜</t>
    <phoneticPr fontId="1" type="noConversion"/>
  </si>
  <si>
    <t>115너3241</t>
    <phoneticPr fontId="1" type="noConversion"/>
  </si>
  <si>
    <t>통영해상실증기지</t>
    <phoneticPr fontId="1" type="noConversion"/>
  </si>
  <si>
    <t>박용주</t>
    <phoneticPr fontId="1" type="noConversion"/>
  </si>
  <si>
    <t>장석일</t>
    <phoneticPr fontId="1" type="noConversion"/>
  </si>
  <si>
    <t>정윤환</t>
    <phoneticPr fontId="1" type="noConversion"/>
  </si>
  <si>
    <t>정일형</t>
    <phoneticPr fontId="1" type="noConversion"/>
  </si>
  <si>
    <t>최원찬</t>
    <phoneticPr fontId="1" type="noConversion"/>
  </si>
  <si>
    <t>기타</t>
    <phoneticPr fontId="1" type="noConversion"/>
  </si>
  <si>
    <t>통영기지 근무자</t>
    <phoneticPr fontId="1" type="noConversion"/>
  </si>
  <si>
    <t>277너1901</t>
    <phoneticPr fontId="1" type="noConversion"/>
  </si>
  <si>
    <t>224러7699</t>
    <phoneticPr fontId="1" type="noConversion"/>
  </si>
  <si>
    <t>181머5091</t>
    <phoneticPr fontId="1" type="noConversion"/>
  </si>
  <si>
    <t>42서5143</t>
    <phoneticPr fontId="1" type="noConversion"/>
  </si>
  <si>
    <t>32마5932</t>
    <phoneticPr fontId="1" type="noConversion"/>
  </si>
  <si>
    <t>13누6439</t>
    <phoneticPr fontId="1" type="noConversion"/>
  </si>
  <si>
    <t>방위연구부</t>
    <phoneticPr fontId="1" type="noConversion"/>
  </si>
  <si>
    <t>김미라</t>
    <phoneticPr fontId="1" type="noConversion"/>
  </si>
  <si>
    <t>기타</t>
    <phoneticPr fontId="1" type="noConversion"/>
  </si>
  <si>
    <t>소견서 첨부</t>
    <phoneticPr fontId="1" type="noConversion"/>
  </si>
  <si>
    <t>56가7761</t>
    <phoneticPr fontId="1" type="noConversion"/>
  </si>
  <si>
    <t>ㅇ</t>
    <phoneticPr fontId="1" type="noConversion"/>
  </si>
  <si>
    <t>김남훈</t>
    <phoneticPr fontId="1" type="noConversion"/>
  </si>
  <si>
    <t>191소6731</t>
    <phoneticPr fontId="1" type="noConversion"/>
  </si>
  <si>
    <t>표성진</t>
    <phoneticPr fontId="1" type="noConversion"/>
  </si>
  <si>
    <t>297도7931</t>
    <phoneticPr fontId="1" type="noConversion"/>
  </si>
  <si>
    <t>임산부 동승</t>
    <phoneticPr fontId="1" type="noConversion"/>
  </si>
  <si>
    <t>2026.03.25.-2026.07.31.</t>
    <phoneticPr fontId="1" type="noConversion"/>
  </si>
  <si>
    <t>온누리호 대체연구선 건조사업단</t>
    <phoneticPr fontId="1" type="noConversion"/>
  </si>
  <si>
    <t>박동원</t>
    <phoneticPr fontId="1" type="noConversion"/>
  </si>
  <si>
    <t>45조2064</t>
    <phoneticPr fontId="1" type="noConversion"/>
  </si>
  <si>
    <t>해양영토연구본부</t>
    <phoneticPr fontId="1" type="noConversion"/>
  </si>
  <si>
    <t>김지영</t>
    <phoneticPr fontId="1" type="noConversion"/>
  </si>
  <si>
    <t>기타</t>
    <phoneticPr fontId="1" type="noConversion"/>
  </si>
  <si>
    <t>소견서 제출</t>
    <phoneticPr fontId="1" type="noConversion"/>
  </si>
  <si>
    <t>327다6562</t>
    <phoneticPr fontId="1" type="noConversion"/>
  </si>
  <si>
    <t>박정기</t>
    <phoneticPr fontId="1" type="noConversion"/>
  </si>
  <si>
    <t>69보0306</t>
    <phoneticPr fontId="1" type="noConversion"/>
  </si>
  <si>
    <t>2026.04.03.</t>
    <phoneticPr fontId="1" type="noConversion"/>
  </si>
  <si>
    <t>방위연구부</t>
    <phoneticPr fontId="1" type="noConversion"/>
  </si>
  <si>
    <t>윤영글</t>
    <phoneticPr fontId="1" type="noConversion"/>
  </si>
  <si>
    <t>15라1813</t>
    <phoneticPr fontId="1" type="noConversion"/>
  </si>
  <si>
    <t>강현</t>
    <phoneticPr fontId="1" type="noConversion"/>
  </si>
  <si>
    <t>254고3034</t>
    <phoneticPr fontId="1" type="noConversion"/>
  </si>
  <si>
    <t>감사담당</t>
    <phoneticPr fontId="1" type="noConversion"/>
  </si>
  <si>
    <t>우선미</t>
    <phoneticPr fontId="1" type="noConversion"/>
  </si>
  <si>
    <t>기타</t>
    <phoneticPr fontId="1" type="noConversion"/>
  </si>
  <si>
    <t>소견서 제출</t>
    <phoneticPr fontId="1" type="noConversion"/>
  </si>
  <si>
    <t>233더8205</t>
    <phoneticPr fontId="1" type="noConversion"/>
  </si>
  <si>
    <t>최재호</t>
    <phoneticPr fontId="1" type="noConversion"/>
  </si>
  <si>
    <t>국가유공자</t>
    <phoneticPr fontId="1" type="noConversion"/>
  </si>
  <si>
    <t>29마0519</t>
    <phoneticPr fontId="1" type="noConversion"/>
  </si>
  <si>
    <t>해양순환기후연구부</t>
    <phoneticPr fontId="1" type="noConversion"/>
  </si>
  <si>
    <t>이승태</t>
    <phoneticPr fontId="1" type="noConversion"/>
  </si>
  <si>
    <t>235나2214</t>
    <phoneticPr fontId="1" type="noConversion"/>
  </si>
  <si>
    <t>유지수</t>
    <phoneticPr fontId="1" type="noConversion"/>
  </si>
  <si>
    <t>02머3863</t>
    <phoneticPr fontId="1" type="noConversion"/>
  </si>
  <si>
    <t>ㅇ</t>
    <phoneticPr fontId="1" type="noConversion"/>
  </si>
  <si>
    <t>이연주</t>
    <phoneticPr fontId="1" type="noConversion"/>
  </si>
  <si>
    <t>64누0905</t>
    <phoneticPr fontId="1" type="noConversion"/>
  </si>
  <si>
    <t>유찬민</t>
    <phoneticPr fontId="1" type="noConversion"/>
  </si>
  <si>
    <t>26다6209</t>
    <phoneticPr fontId="1" type="noConversion"/>
  </si>
  <si>
    <t>최진영</t>
    <phoneticPr fontId="1" type="noConversion"/>
  </si>
  <si>
    <t>391오4612</t>
    <phoneticPr fontId="1" type="noConversion"/>
  </si>
  <si>
    <t>양성은</t>
    <phoneticPr fontId="1" type="noConversion"/>
  </si>
  <si>
    <t>46보5769</t>
    <phoneticPr fontId="1" type="noConversion"/>
  </si>
  <si>
    <t>신지혜</t>
    <phoneticPr fontId="1" type="noConversion"/>
  </si>
  <si>
    <t>기타</t>
    <phoneticPr fontId="1" type="noConversion"/>
  </si>
  <si>
    <t>출장으로 인한 원내주차</t>
    <phoneticPr fontId="1" type="noConversion"/>
  </si>
  <si>
    <t>104도4878</t>
    <phoneticPr fontId="1" type="noConversion"/>
  </si>
  <si>
    <t>김인태</t>
    <phoneticPr fontId="1" type="noConversion"/>
  </si>
  <si>
    <t>서준형</t>
    <phoneticPr fontId="1" type="noConversion"/>
  </si>
  <si>
    <t>백은란</t>
    <phoneticPr fontId="1" type="noConversion"/>
  </si>
  <si>
    <t>397러2700</t>
    <phoneticPr fontId="1" type="noConversion"/>
  </si>
  <si>
    <t>68부5612</t>
    <phoneticPr fontId="1" type="noConversion"/>
  </si>
  <si>
    <t>241소1621</t>
    <phoneticPr fontId="1" type="noConversion"/>
  </si>
  <si>
    <t>2026.04.07.-2026.04.25.</t>
    <phoneticPr fontId="1" type="noConversion"/>
  </si>
  <si>
    <t>이민아</t>
    <phoneticPr fontId="1" type="noConversion"/>
  </si>
  <si>
    <t>11라0922</t>
    <phoneticPr fontId="1" type="noConversion"/>
  </si>
  <si>
    <t>해양위성센터</t>
    <phoneticPr fontId="1" type="noConversion"/>
  </si>
  <si>
    <t>윤석</t>
    <phoneticPr fontId="1" type="noConversion"/>
  </si>
  <si>
    <t>58수8981</t>
    <phoneticPr fontId="1" type="noConversion"/>
  </si>
  <si>
    <t>김소윤</t>
    <phoneticPr fontId="1" type="noConversion"/>
  </si>
  <si>
    <t>171고2396</t>
    <phoneticPr fontId="1" type="noConversion"/>
  </si>
  <si>
    <t>총무복지실</t>
    <phoneticPr fontId="1" type="noConversion"/>
  </si>
  <si>
    <t>서선화</t>
    <phoneticPr fontId="1" type="noConversion"/>
  </si>
  <si>
    <t>07저2237</t>
    <phoneticPr fontId="1" type="noConversion"/>
  </si>
  <si>
    <t>2026.04.06</t>
    <phoneticPr fontId="1" type="noConversion"/>
  </si>
  <si>
    <t>이삭푸드</t>
    <phoneticPr fontId="1" type="noConversion"/>
  </si>
  <si>
    <t>최성호</t>
    <phoneticPr fontId="1" type="noConversion"/>
  </si>
  <si>
    <t>최성령</t>
    <phoneticPr fontId="1" type="noConversion"/>
  </si>
  <si>
    <t>기타</t>
    <phoneticPr fontId="1" type="noConversion"/>
  </si>
  <si>
    <t>상주업체 정기방문자</t>
    <phoneticPr fontId="1" type="noConversion"/>
  </si>
  <si>
    <t>308다1626</t>
    <phoneticPr fontId="1" type="noConversion"/>
  </si>
  <si>
    <t>224주8344</t>
    <phoneticPr fontId="1" type="noConversion"/>
  </si>
  <si>
    <t>해양기후예측센터</t>
    <phoneticPr fontId="1" type="noConversion"/>
  </si>
  <si>
    <t>고경우</t>
    <phoneticPr fontId="1" type="noConversion"/>
  </si>
  <si>
    <t>12우9773</t>
    <phoneticPr fontId="1" type="noConversion"/>
  </si>
  <si>
    <t>해양순환기후연구부</t>
    <phoneticPr fontId="1" type="noConversion"/>
  </si>
  <si>
    <t>김형보</t>
    <phoneticPr fontId="1" type="noConversion"/>
  </si>
  <si>
    <t>67로0235</t>
    <phoneticPr fontId="1" type="noConversion"/>
  </si>
  <si>
    <t>유아동승</t>
    <phoneticPr fontId="1" type="noConversion"/>
  </si>
  <si>
    <t>대양자원연구부</t>
    <phoneticPr fontId="1" type="noConversion"/>
  </si>
  <si>
    <t>윤현진</t>
    <phoneticPr fontId="1" type="noConversion"/>
  </si>
  <si>
    <t>17구3676</t>
    <phoneticPr fontId="1" type="noConversion"/>
  </si>
  <si>
    <t>류경호</t>
    <phoneticPr fontId="1" type="noConversion"/>
  </si>
  <si>
    <t>18서3395</t>
    <phoneticPr fontId="1" type="noConversion"/>
  </si>
  <si>
    <t>해양법연구부</t>
    <phoneticPr fontId="1" type="noConversion"/>
  </si>
  <si>
    <t>김성규</t>
    <phoneticPr fontId="1" type="noConversion"/>
  </si>
  <si>
    <t>19우9385</t>
    <phoneticPr fontId="1" type="noConversion"/>
  </si>
  <si>
    <t>02조1431</t>
    <phoneticPr fontId="1" type="noConversion"/>
  </si>
  <si>
    <t>해양생명자원연구부</t>
    <phoneticPr fontId="1" type="noConversion"/>
  </si>
  <si>
    <t>김민진</t>
    <phoneticPr fontId="1" type="noConversion"/>
  </si>
  <si>
    <t>252도8975</t>
    <phoneticPr fontId="1" type="noConversion"/>
  </si>
  <si>
    <t>생태연구부</t>
    <phoneticPr fontId="1" type="noConversion"/>
  </si>
  <si>
    <t>배재경(63270)</t>
    <phoneticPr fontId="1" type="noConversion"/>
  </si>
  <si>
    <t>06부8272</t>
    <phoneticPr fontId="1" type="noConversion"/>
  </si>
  <si>
    <t>재무회계실</t>
    <phoneticPr fontId="1" type="noConversion"/>
  </si>
  <si>
    <t>편옥이</t>
    <phoneticPr fontId="1" type="noConversion"/>
  </si>
  <si>
    <t>366머2271</t>
    <phoneticPr fontId="1" type="noConversion"/>
  </si>
  <si>
    <t>에너지연구부</t>
    <phoneticPr fontId="1" type="noConversion"/>
  </si>
  <si>
    <t>박영현</t>
    <phoneticPr fontId="1" type="noConversion"/>
  </si>
  <si>
    <t>45소9480</t>
    <phoneticPr fontId="1" type="noConversion"/>
  </si>
  <si>
    <t>구매자산실</t>
    <phoneticPr fontId="1" type="noConversion"/>
  </si>
  <si>
    <t>심문영</t>
    <phoneticPr fontId="1" type="noConversion"/>
  </si>
  <si>
    <t>13거3330</t>
    <phoneticPr fontId="1" type="noConversion"/>
  </si>
  <si>
    <t>시설실</t>
    <phoneticPr fontId="1" type="noConversion"/>
  </si>
  <si>
    <t>손명관</t>
    <phoneticPr fontId="1" type="noConversion"/>
  </si>
  <si>
    <t>긴급 작업차량(전기)</t>
    <phoneticPr fontId="1" type="noConversion"/>
  </si>
  <si>
    <t>19조6502</t>
    <phoneticPr fontId="1" type="noConversion"/>
  </si>
  <si>
    <t>양승진</t>
    <phoneticPr fontId="1" type="noConversion"/>
  </si>
  <si>
    <t>254누8281</t>
    <phoneticPr fontId="1" type="noConversion"/>
  </si>
  <si>
    <t>최영웅</t>
    <phoneticPr fontId="1" type="noConversion"/>
  </si>
  <si>
    <t>25수2720</t>
    <phoneticPr fontId="1" type="noConversion"/>
  </si>
  <si>
    <t>동성건업</t>
    <phoneticPr fontId="1" type="noConversion"/>
  </si>
  <si>
    <t>김승원</t>
    <phoneticPr fontId="1" type="noConversion"/>
  </si>
  <si>
    <t>87로6593</t>
    <phoneticPr fontId="1" type="noConversion"/>
  </si>
  <si>
    <t>김정현</t>
    <phoneticPr fontId="1" type="noConversion"/>
  </si>
  <si>
    <t>23러9056</t>
    <phoneticPr fontId="1" type="noConversion"/>
  </si>
  <si>
    <t>외주공사 및 작업 차량</t>
    <phoneticPr fontId="1" type="noConversion"/>
  </si>
  <si>
    <t>렌토킬이니셜코리아</t>
    <phoneticPr fontId="1" type="noConversion"/>
  </si>
  <si>
    <t>정승현</t>
    <phoneticPr fontId="1" type="noConversion"/>
  </si>
  <si>
    <t>814노9333</t>
    <phoneticPr fontId="1" type="noConversion"/>
  </si>
  <si>
    <t>벨굿디자인</t>
    <phoneticPr fontId="1" type="noConversion"/>
  </si>
  <si>
    <t>조규영</t>
    <phoneticPr fontId="1" type="noConversion"/>
  </si>
  <si>
    <t>83조7609</t>
    <phoneticPr fontId="1" type="noConversion"/>
  </si>
  <si>
    <t>안성근</t>
    <phoneticPr fontId="1" type="noConversion"/>
  </si>
  <si>
    <t>85주1252</t>
    <phoneticPr fontId="1" type="noConversion"/>
  </si>
  <si>
    <t>손영일</t>
    <phoneticPr fontId="1" type="noConversion"/>
  </si>
  <si>
    <t>97부9424</t>
    <phoneticPr fontId="1" type="noConversion"/>
  </si>
  <si>
    <t>에프엠파트너스</t>
    <phoneticPr fontId="1" type="noConversion"/>
  </si>
  <si>
    <t>김선근</t>
    <phoneticPr fontId="1" type="noConversion"/>
  </si>
  <si>
    <t>84머8471</t>
    <phoneticPr fontId="1" type="noConversion"/>
  </si>
  <si>
    <t>장은호</t>
    <phoneticPr fontId="1" type="noConversion"/>
  </si>
  <si>
    <t>83로4346</t>
    <phoneticPr fontId="1" type="noConversion"/>
  </si>
  <si>
    <t>김기범</t>
    <phoneticPr fontId="1" type="noConversion"/>
  </si>
  <si>
    <t>13조4783</t>
    <phoneticPr fontId="1" type="noConversion"/>
  </si>
  <si>
    <t>유칼릭스</t>
    <phoneticPr fontId="1" type="noConversion"/>
  </si>
  <si>
    <t>김용수</t>
    <phoneticPr fontId="1" type="noConversion"/>
  </si>
  <si>
    <t>20로8845</t>
    <phoneticPr fontId="1" type="noConversion"/>
  </si>
  <si>
    <t>이현규</t>
    <phoneticPr fontId="1" type="noConversion"/>
  </si>
  <si>
    <t>15오0485</t>
    <phoneticPr fontId="1" type="noConversion"/>
  </si>
  <si>
    <t>김태수</t>
    <phoneticPr fontId="1" type="noConversion"/>
  </si>
  <si>
    <t>801노6585</t>
    <phoneticPr fontId="1" type="noConversion"/>
  </si>
  <si>
    <t>정윤호</t>
    <phoneticPr fontId="1" type="noConversion"/>
  </si>
  <si>
    <t>180허2401</t>
    <phoneticPr fontId="1" type="noConversion"/>
  </si>
  <si>
    <t>김진욱</t>
    <phoneticPr fontId="1" type="noConversion"/>
  </si>
  <si>
    <t>110도6384</t>
    <phoneticPr fontId="1" type="noConversion"/>
  </si>
  <si>
    <t>신희재</t>
    <phoneticPr fontId="1" type="noConversion"/>
  </si>
  <si>
    <t>01수3742</t>
    <phoneticPr fontId="1" type="noConversion"/>
  </si>
  <si>
    <t>해양위성센터</t>
    <phoneticPr fontId="1" type="noConversion"/>
  </si>
  <si>
    <t>최종국</t>
    <phoneticPr fontId="1" type="noConversion"/>
  </si>
  <si>
    <t>강형구</t>
    <phoneticPr fontId="1" type="noConversion"/>
  </si>
  <si>
    <t>177가6782</t>
    <phoneticPr fontId="1" type="noConversion"/>
  </si>
  <si>
    <t>방위연구부</t>
    <phoneticPr fontId="1" type="noConversion"/>
  </si>
  <si>
    <t>박선영</t>
    <phoneticPr fontId="1" type="noConversion"/>
  </si>
  <si>
    <t>2026.04.08.-2026.04.09.</t>
    <phoneticPr fontId="1" type="noConversion"/>
  </si>
  <si>
    <t>20두8929</t>
    <phoneticPr fontId="1" type="noConversion"/>
  </si>
  <si>
    <t>이만규</t>
    <phoneticPr fontId="1" type="noConversion"/>
  </si>
  <si>
    <t>37누0769</t>
    <phoneticPr fontId="1" type="noConversion"/>
  </si>
  <si>
    <t>최재호</t>
    <phoneticPr fontId="1" type="noConversion"/>
  </si>
  <si>
    <t>12인승 업무용 차량</t>
    <phoneticPr fontId="1" type="noConversion"/>
  </si>
  <si>
    <t>73주3727</t>
    <phoneticPr fontId="1" type="noConversion"/>
  </si>
  <si>
    <t>23버7906</t>
    <phoneticPr fontId="1" type="noConversion"/>
  </si>
  <si>
    <t>황보선</t>
    <phoneticPr fontId="1" type="noConversion"/>
  </si>
  <si>
    <t>외주업체 설비점검 차량</t>
    <phoneticPr fontId="1" type="noConversion"/>
  </si>
  <si>
    <t>226하7244</t>
    <phoneticPr fontId="1" type="noConversion"/>
  </si>
  <si>
    <t>정보통신공사</t>
    <phoneticPr fontId="1" type="noConversion"/>
  </si>
  <si>
    <t>랩솔(덕트설비)</t>
    <phoneticPr fontId="1" type="noConversion"/>
  </si>
  <si>
    <t>태승냉동(냉동고)</t>
    <phoneticPr fontId="1" type="noConversion"/>
  </si>
  <si>
    <t>366무3776</t>
    <phoneticPr fontId="1" type="noConversion"/>
  </si>
  <si>
    <t>129보6242</t>
    <phoneticPr fontId="1" type="noConversion"/>
  </si>
  <si>
    <t>88너6215</t>
    <phoneticPr fontId="1" type="noConversion"/>
  </si>
  <si>
    <t>2026.04.10.-2026.04.26.</t>
    <phoneticPr fontId="1" type="noConversion"/>
  </si>
  <si>
    <t>강원대학교</t>
    <phoneticPr fontId="1" type="noConversion"/>
  </si>
  <si>
    <t>김인엽</t>
    <phoneticPr fontId="1" type="noConversion"/>
  </si>
  <si>
    <t>강원대학교 출장차량</t>
    <phoneticPr fontId="1" type="noConversion"/>
  </si>
  <si>
    <t>46주5763</t>
    <phoneticPr fontId="1" type="noConversion"/>
  </si>
  <si>
    <t>해양로봇실증센터</t>
    <phoneticPr fontId="1" type="noConversion"/>
  </si>
  <si>
    <t>김지훈</t>
    <phoneticPr fontId="1" type="noConversion"/>
  </si>
  <si>
    <t>김동건</t>
    <phoneticPr fontId="1" type="noConversion"/>
  </si>
  <si>
    <t>김미영</t>
    <phoneticPr fontId="1" type="noConversion"/>
  </si>
  <si>
    <t>김민규</t>
    <phoneticPr fontId="1" type="noConversion"/>
  </si>
  <si>
    <t>김흥찬</t>
    <phoneticPr fontId="1" type="noConversion"/>
  </si>
  <si>
    <t>문성민</t>
    <phoneticPr fontId="1" type="noConversion"/>
  </si>
  <si>
    <t>박요섭</t>
    <phoneticPr fontId="1" type="noConversion"/>
  </si>
  <si>
    <t>박홍진</t>
    <phoneticPr fontId="1" type="noConversion"/>
  </si>
  <si>
    <t>서창현</t>
    <phoneticPr fontId="1" type="noConversion"/>
  </si>
  <si>
    <t>정세진</t>
    <phoneticPr fontId="1" type="noConversion"/>
  </si>
  <si>
    <t>오수빈</t>
    <phoneticPr fontId="1" type="noConversion"/>
  </si>
  <si>
    <t>박동선</t>
    <phoneticPr fontId="1" type="noConversion"/>
  </si>
  <si>
    <t>기타</t>
    <phoneticPr fontId="1" type="noConversion"/>
  </si>
  <si>
    <t>대중교통 열악 제외(포항로봇)</t>
    <phoneticPr fontId="1" type="noConversion"/>
  </si>
  <si>
    <t>135누2648</t>
  </si>
  <si>
    <t>129고9603</t>
  </si>
  <si>
    <t>362어6353</t>
  </si>
  <si>
    <t>28다8677</t>
  </si>
  <si>
    <t>63다5758</t>
  </si>
  <si>
    <t>61소7593</t>
  </si>
  <si>
    <t>18노1640</t>
  </si>
  <si>
    <t>55거2680</t>
  </si>
  <si>
    <t>34다4721</t>
  </si>
  <si>
    <t>58너6597</t>
  </si>
  <si>
    <t>189소5049</t>
  </si>
  <si>
    <t>36거7891</t>
  </si>
  <si>
    <t>에어컨설치업체</t>
    <phoneticPr fontId="1" type="noConversion"/>
  </si>
  <si>
    <t>황보선</t>
    <phoneticPr fontId="1" type="noConversion"/>
  </si>
  <si>
    <t>기타</t>
    <phoneticPr fontId="1" type="noConversion"/>
  </si>
  <si>
    <t>193호5210</t>
    <phoneticPr fontId="1" type="noConversion"/>
  </si>
  <si>
    <t>4.8일 국내출장</t>
    <phoneticPr fontId="1" type="noConversion"/>
  </si>
  <si>
    <t>행 레이블</t>
  </si>
  <si>
    <t>기타</t>
  </si>
  <si>
    <t>유아동승</t>
  </si>
  <si>
    <t>임산부</t>
  </si>
  <si>
    <t>장거리출퇴근</t>
  </si>
  <si>
    <t>환경친화적 자동차</t>
  </si>
  <si>
    <t>(비어 있음)</t>
  </si>
  <si>
    <t>총합계</t>
  </si>
  <si>
    <t>12인승 업무용 차량</t>
  </si>
  <si>
    <t>4.8일 국내출장</t>
  </si>
  <si>
    <t>강원대학교 출장차량</t>
  </si>
  <si>
    <t>공무 사용 차량</t>
  </si>
  <si>
    <t>교대근무자</t>
  </si>
  <si>
    <t>국가유공자</t>
  </si>
  <si>
    <t>기숙사거주자</t>
  </si>
  <si>
    <t>기숙자거주자</t>
  </si>
  <si>
    <t>긴급 작업차량(전기)</t>
  </si>
  <si>
    <t>대중교통 열악 제외(포항로봇)</t>
  </si>
  <si>
    <t>미화</t>
  </si>
  <si>
    <t>상주업체 정기방문자</t>
  </si>
  <si>
    <t>소견서 제출</t>
  </si>
  <si>
    <t>소견서 첨부</t>
  </si>
  <si>
    <t>소방안전관리 긴급출동차량</t>
  </si>
  <si>
    <t>영도장애인복지관 업무차량</t>
  </si>
  <si>
    <t>외주공사 및 작업 차량</t>
  </si>
  <si>
    <t>외주업체 설비점검 차량</t>
  </si>
  <si>
    <t>진단서 제출</t>
  </si>
  <si>
    <t>출장 업무 사용</t>
  </si>
  <si>
    <t>출장으로 인한 원내주차</t>
  </si>
  <si>
    <t>취약계층</t>
  </si>
  <si>
    <t>통영기지 근무자</t>
  </si>
  <si>
    <t>개수 : 상세사유</t>
  </si>
  <si>
    <t>개수 : 제외사유</t>
  </si>
  <si>
    <t>KIOST스쿨</t>
    <phoneticPr fontId="1" type="noConversion"/>
  </si>
  <si>
    <t>장연식</t>
    <phoneticPr fontId="1" type="noConversion"/>
  </si>
  <si>
    <t>25소7601</t>
    <phoneticPr fontId="1" type="noConversion"/>
  </si>
  <si>
    <t>전청균</t>
    <phoneticPr fontId="1" type="noConversion"/>
  </si>
  <si>
    <t>기타</t>
    <phoneticPr fontId="1" type="noConversion"/>
  </si>
  <si>
    <t>출장(4.8-4.26)업무로 인한 사용</t>
    <phoneticPr fontId="1" type="noConversion"/>
  </si>
  <si>
    <t>46무9664</t>
    <phoneticPr fontId="1" type="noConversion"/>
  </si>
  <si>
    <t>49수8710</t>
    <phoneticPr fontId="1" type="noConversion"/>
  </si>
  <si>
    <t>김수관</t>
    <phoneticPr fontId="1" type="noConversion"/>
  </si>
  <si>
    <t>문성훈</t>
    <phoneticPr fontId="1" type="noConversion"/>
  </si>
  <si>
    <t>황종하</t>
    <phoneticPr fontId="1" type="noConversion"/>
  </si>
  <si>
    <t>박욱</t>
    <phoneticPr fontId="1" type="noConversion"/>
  </si>
  <si>
    <t>371어7990</t>
    <phoneticPr fontId="1" type="noConversion"/>
  </si>
  <si>
    <t>34더4384</t>
    <phoneticPr fontId="1" type="noConversion"/>
  </si>
  <si>
    <t>102호1341</t>
    <phoneticPr fontId="1" type="noConversion"/>
  </si>
  <si>
    <t>2026.04.08.-2026.04.26.</t>
    <phoneticPr fontId="1" type="noConversion"/>
  </si>
  <si>
    <t>㈜아이옵스</t>
    <phoneticPr fontId="1" type="noConversion"/>
  </si>
  <si>
    <t>김영현</t>
    <phoneticPr fontId="1" type="noConversion"/>
  </si>
  <si>
    <t>백경민</t>
    <phoneticPr fontId="1" type="noConversion"/>
  </si>
  <si>
    <t>홍지원</t>
    <phoneticPr fontId="1" type="noConversion"/>
  </si>
  <si>
    <t>이지훈</t>
    <phoneticPr fontId="1" type="noConversion"/>
  </si>
  <si>
    <t>43고6625</t>
    <phoneticPr fontId="1" type="noConversion"/>
  </si>
  <si>
    <t>395더5674</t>
    <phoneticPr fontId="1" type="noConversion"/>
  </si>
  <si>
    <t>17부9411</t>
    <phoneticPr fontId="1" type="noConversion"/>
  </si>
  <si>
    <t>330수5142</t>
    <phoneticPr fontId="1" type="noConversion"/>
  </si>
  <si>
    <t>2026.04.07</t>
    <phoneticPr fontId="1" type="noConversion"/>
  </si>
  <si>
    <t>해양위성센터</t>
    <phoneticPr fontId="1" type="noConversion"/>
  </si>
  <si>
    <t>백원경</t>
    <phoneticPr fontId="1" type="noConversion"/>
  </si>
  <si>
    <t>122러4506</t>
    <phoneticPr fontId="1" type="noConversion"/>
  </si>
  <si>
    <t>생태연구부</t>
    <phoneticPr fontId="1" type="noConversion"/>
  </si>
  <si>
    <t>김대현</t>
    <phoneticPr fontId="1" type="noConversion"/>
  </si>
  <si>
    <t>107러7686</t>
    <phoneticPr fontId="1" type="noConversion"/>
  </si>
  <si>
    <t>2026.04.07.-2026.05.31.</t>
    <phoneticPr fontId="1" type="noConversion"/>
  </si>
  <si>
    <t>해양재난연구부</t>
    <phoneticPr fontId="1" type="noConversion"/>
  </si>
  <si>
    <t>유제선</t>
    <phoneticPr fontId="1" type="noConversion"/>
  </si>
  <si>
    <t>107조9282</t>
    <phoneticPr fontId="1" type="noConversion"/>
  </si>
  <si>
    <t>기획실</t>
    <phoneticPr fontId="1" type="noConversion"/>
  </si>
  <si>
    <t>이관마</t>
    <phoneticPr fontId="1" type="noConversion"/>
  </si>
  <si>
    <t>29두2887</t>
    <phoneticPr fontId="1" type="noConversion"/>
  </si>
  <si>
    <t>우한준</t>
    <phoneticPr fontId="1" type="noConversion"/>
  </si>
  <si>
    <t>취약계층</t>
    <phoneticPr fontId="1" type="noConversion"/>
  </si>
  <si>
    <t>57거1181</t>
    <phoneticPr fontId="1" type="noConversion"/>
  </si>
  <si>
    <t>66가7665</t>
    <phoneticPr fontId="1" type="noConversion"/>
  </si>
  <si>
    <t>이연정</t>
    <phoneticPr fontId="1" type="noConversion"/>
  </si>
  <si>
    <t>이근수</t>
    <phoneticPr fontId="1" type="noConversion"/>
  </si>
  <si>
    <t>13로5215</t>
    <phoneticPr fontId="1" type="noConversion"/>
  </si>
  <si>
    <t>57버1729</t>
    <phoneticPr fontId="1" type="noConversion"/>
  </si>
  <si>
    <t>연구관리실</t>
    <phoneticPr fontId="1" type="noConversion"/>
  </si>
  <si>
    <t>최희수</t>
    <phoneticPr fontId="1" type="noConversion"/>
  </si>
  <si>
    <t>39주0853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</si>
</sst>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right" vertical="center"/>
    </xf>
    <xf numFmtId="49" fontId="0" fillId="0" borderId="0" xfId="0" applyNumberFormat="1" applyAlignment="1">
      <alignment horizontal="center" vertical="center"/>
    </xf>
    <xf numFmtId="49" fontId="0" fillId="2" borderId="0" xfId="0" applyNumberFormat="1" applyFill="1" applyAlignment="1">
      <alignment horizontal="right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right" vertical="center"/>
    </xf>
    <xf numFmtId="0" fontId="0" fillId="0" borderId="0" xfId="0" applyFill="1" applyAlignment="1">
      <alignment horizontal="center"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표준" xfId="0" builtinId="0"/>
  </cellStyles>
  <dxfs count="10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  <border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119.400773958332" createdVersion="6" refreshedVersion="6" minRefreshableVersion="3" recordCount="288" xr:uid="{D79FAF6D-D5F9-49B4-A554-80F2E3744315}">
  <cacheSource type="worksheet">
    <worksheetSource ref="C1:D1048576" sheet="전체리스트"/>
  </cacheSource>
  <cacheFields count="2">
    <cacheField name="제외사유" numFmtId="0">
      <sharedItems containsBlank="1" count="6">
        <s v="기타"/>
        <s v="임산부"/>
        <s v="장거리출퇴근"/>
        <s v="유아동승"/>
        <s v="환경친화적 자동차"/>
        <m/>
      </sharedItems>
    </cacheField>
    <cacheField name="상세사유" numFmtId="0">
      <sharedItems containsBlank="1" count="24">
        <s v="출장 업무 사용"/>
        <m/>
        <s v="교대근무자"/>
        <s v="기숙사거주자"/>
        <s v="미화"/>
        <s v="취약계층"/>
        <s v="진단서 제출"/>
        <s v="소방안전관리 긴급출동차량"/>
        <s v="기숙자거주자"/>
        <s v="공무 사용 차량"/>
        <s v="영도장애인복지관 업무차량"/>
        <s v="통영기지 근무자"/>
        <s v="소견서 첨부"/>
        <s v="소견서 제출"/>
        <s v="국가유공자"/>
        <s v="상주업체 정기방문자"/>
        <s v="긴급 작업차량(전기)"/>
        <s v="외주공사 및 작업 차량"/>
        <s v="12인승 업무용 차량"/>
        <s v="외주업체 설비점검 차량"/>
        <s v="대중교통 열악 제외(포항로봇)"/>
        <s v="출장으로 인한 원내주차"/>
        <s v="4.8일 국내출장"/>
        <s v="강원대학교 출장차량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x v="0"/>
    <x v="0"/>
  </r>
  <r>
    <x v="1"/>
    <x v="1"/>
  </r>
  <r>
    <x v="0"/>
    <x v="2"/>
  </r>
  <r>
    <x v="0"/>
    <x v="2"/>
  </r>
  <r>
    <x v="0"/>
    <x v="2"/>
  </r>
  <r>
    <x v="0"/>
    <x v="2"/>
  </r>
  <r>
    <x v="0"/>
    <x v="2"/>
  </r>
  <r>
    <x v="0"/>
    <x v="2"/>
  </r>
  <r>
    <x v="0"/>
    <x v="3"/>
  </r>
  <r>
    <x v="0"/>
    <x v="3"/>
  </r>
  <r>
    <x v="0"/>
    <x v="3"/>
  </r>
  <r>
    <x v="0"/>
    <x v="3"/>
  </r>
  <r>
    <x v="0"/>
    <x v="3"/>
  </r>
  <r>
    <x v="0"/>
    <x v="3"/>
  </r>
  <r>
    <x v="0"/>
    <x v="3"/>
  </r>
  <r>
    <x v="0"/>
    <x v="4"/>
  </r>
  <r>
    <x v="0"/>
    <x v="4"/>
  </r>
  <r>
    <x v="0"/>
    <x v="4"/>
  </r>
  <r>
    <x v="0"/>
    <x v="4"/>
  </r>
  <r>
    <x v="0"/>
    <x v="4"/>
  </r>
  <r>
    <x v="0"/>
    <x v="4"/>
  </r>
  <r>
    <x v="0"/>
    <x v="4"/>
  </r>
  <r>
    <x v="0"/>
    <x v="4"/>
  </r>
  <r>
    <x v="0"/>
    <x v="4"/>
  </r>
  <r>
    <x v="0"/>
    <x v="5"/>
  </r>
  <r>
    <x v="0"/>
    <x v="5"/>
  </r>
  <r>
    <x v="0"/>
    <x v="6"/>
  </r>
  <r>
    <x v="2"/>
    <x v="1"/>
  </r>
  <r>
    <x v="2"/>
    <x v="1"/>
  </r>
  <r>
    <x v="3"/>
    <x v="1"/>
  </r>
  <r>
    <x v="2"/>
    <x v="1"/>
  </r>
  <r>
    <x v="2"/>
    <x v="1"/>
  </r>
  <r>
    <x v="4"/>
    <x v="1"/>
  </r>
  <r>
    <x v="3"/>
    <x v="1"/>
  </r>
  <r>
    <x v="3"/>
    <x v="1"/>
  </r>
  <r>
    <x v="3"/>
    <x v="1"/>
  </r>
  <r>
    <x v="2"/>
    <x v="1"/>
  </r>
  <r>
    <x v="4"/>
    <x v="1"/>
  </r>
  <r>
    <x v="4"/>
    <x v="1"/>
  </r>
  <r>
    <x v="2"/>
    <x v="1"/>
  </r>
  <r>
    <x v="4"/>
    <x v="1"/>
  </r>
  <r>
    <x v="4"/>
    <x v="1"/>
  </r>
  <r>
    <x v="2"/>
    <x v="1"/>
  </r>
  <r>
    <x v="3"/>
    <x v="1"/>
  </r>
  <r>
    <x v="2"/>
    <x v="1"/>
  </r>
  <r>
    <x v="2"/>
    <x v="1"/>
  </r>
  <r>
    <x v="2"/>
    <x v="1"/>
  </r>
  <r>
    <x v="4"/>
    <x v="1"/>
  </r>
  <r>
    <x v="3"/>
    <x v="1"/>
  </r>
  <r>
    <x v="2"/>
    <x v="1"/>
  </r>
  <r>
    <x v="4"/>
    <x v="1"/>
  </r>
  <r>
    <x v="4"/>
    <x v="1"/>
  </r>
  <r>
    <x v="4"/>
    <x v="1"/>
  </r>
  <r>
    <x v="4"/>
    <x v="1"/>
  </r>
  <r>
    <x v="2"/>
    <x v="1"/>
  </r>
  <r>
    <x v="4"/>
    <x v="1"/>
  </r>
  <r>
    <x v="4"/>
    <x v="1"/>
  </r>
  <r>
    <x v="3"/>
    <x v="1"/>
  </r>
  <r>
    <x v="2"/>
    <x v="1"/>
  </r>
  <r>
    <x v="3"/>
    <x v="1"/>
  </r>
  <r>
    <x v="2"/>
    <x v="1"/>
  </r>
  <r>
    <x v="2"/>
    <x v="1"/>
  </r>
  <r>
    <x v="2"/>
    <x v="1"/>
  </r>
  <r>
    <x v="1"/>
    <x v="1"/>
  </r>
  <r>
    <x v="2"/>
    <x v="1"/>
  </r>
  <r>
    <x v="2"/>
    <x v="1"/>
  </r>
  <r>
    <x v="2"/>
    <x v="1"/>
  </r>
  <r>
    <x v="2"/>
    <x v="1"/>
  </r>
  <r>
    <x v="4"/>
    <x v="1"/>
  </r>
  <r>
    <x v="2"/>
    <x v="1"/>
  </r>
  <r>
    <x v="2"/>
    <x v="1"/>
  </r>
  <r>
    <x v="4"/>
    <x v="1"/>
  </r>
  <r>
    <x v="2"/>
    <x v="1"/>
  </r>
  <r>
    <x v="2"/>
    <x v="1"/>
  </r>
  <r>
    <x v="2"/>
    <x v="1"/>
  </r>
  <r>
    <x v="2"/>
    <x v="1"/>
  </r>
  <r>
    <x v="2"/>
    <x v="1"/>
  </r>
  <r>
    <x v="2"/>
    <x v="1"/>
  </r>
  <r>
    <x v="2"/>
    <x v="1"/>
  </r>
  <r>
    <x v="4"/>
    <x v="1"/>
  </r>
  <r>
    <x v="3"/>
    <x v="1"/>
  </r>
  <r>
    <x v="2"/>
    <x v="1"/>
  </r>
  <r>
    <x v="2"/>
    <x v="1"/>
  </r>
  <r>
    <x v="1"/>
    <x v="1"/>
  </r>
  <r>
    <x v="2"/>
    <x v="1"/>
  </r>
  <r>
    <x v="2"/>
    <x v="1"/>
  </r>
  <r>
    <x v="2"/>
    <x v="1"/>
  </r>
  <r>
    <x v="4"/>
    <x v="1"/>
  </r>
  <r>
    <x v="4"/>
    <x v="1"/>
  </r>
  <r>
    <x v="2"/>
    <x v="1"/>
  </r>
  <r>
    <x v="2"/>
    <x v="1"/>
  </r>
  <r>
    <x v="2"/>
    <x v="1"/>
  </r>
  <r>
    <x v="4"/>
    <x v="1"/>
  </r>
  <r>
    <x v="4"/>
    <x v="1"/>
  </r>
  <r>
    <x v="2"/>
    <x v="1"/>
  </r>
  <r>
    <x v="2"/>
    <x v="1"/>
  </r>
  <r>
    <x v="3"/>
    <x v="1"/>
  </r>
  <r>
    <x v="3"/>
    <x v="1"/>
  </r>
  <r>
    <x v="4"/>
    <x v="1"/>
  </r>
  <r>
    <x v="2"/>
    <x v="1"/>
  </r>
  <r>
    <x v="2"/>
    <x v="1"/>
  </r>
  <r>
    <x v="2"/>
    <x v="1"/>
  </r>
  <r>
    <x v="2"/>
    <x v="1"/>
  </r>
  <r>
    <x v="4"/>
    <x v="1"/>
  </r>
  <r>
    <x v="2"/>
    <x v="1"/>
  </r>
  <r>
    <x v="2"/>
    <x v="1"/>
  </r>
  <r>
    <x v="2"/>
    <x v="1"/>
  </r>
  <r>
    <x v="2"/>
    <x v="1"/>
  </r>
  <r>
    <x v="2"/>
    <x v="1"/>
  </r>
  <r>
    <x v="2"/>
    <x v="1"/>
  </r>
  <r>
    <x v="3"/>
    <x v="1"/>
  </r>
  <r>
    <x v="3"/>
    <x v="1"/>
  </r>
  <r>
    <x v="2"/>
    <x v="1"/>
  </r>
  <r>
    <x v="2"/>
    <x v="1"/>
  </r>
  <r>
    <x v="2"/>
    <x v="1"/>
  </r>
  <r>
    <x v="2"/>
    <x v="1"/>
  </r>
  <r>
    <x v="2"/>
    <x v="1"/>
  </r>
  <r>
    <x v="4"/>
    <x v="1"/>
  </r>
  <r>
    <x v="2"/>
    <x v="1"/>
  </r>
  <r>
    <x v="4"/>
    <x v="1"/>
  </r>
  <r>
    <x v="2"/>
    <x v="1"/>
  </r>
  <r>
    <x v="0"/>
    <x v="4"/>
  </r>
  <r>
    <x v="0"/>
    <x v="4"/>
  </r>
  <r>
    <x v="3"/>
    <x v="1"/>
  </r>
  <r>
    <x v="3"/>
    <x v="1"/>
  </r>
  <r>
    <x v="0"/>
    <x v="2"/>
  </r>
  <r>
    <x v="0"/>
    <x v="2"/>
  </r>
  <r>
    <x v="3"/>
    <x v="1"/>
  </r>
  <r>
    <x v="4"/>
    <x v="1"/>
  </r>
  <r>
    <x v="3"/>
    <x v="1"/>
  </r>
  <r>
    <x v="3"/>
    <x v="1"/>
  </r>
  <r>
    <x v="0"/>
    <x v="4"/>
  </r>
  <r>
    <x v="3"/>
    <x v="1"/>
  </r>
  <r>
    <x v="2"/>
    <x v="1"/>
  </r>
  <r>
    <x v="3"/>
    <x v="1"/>
  </r>
  <r>
    <x v="3"/>
    <x v="1"/>
  </r>
  <r>
    <x v="2"/>
    <x v="1"/>
  </r>
  <r>
    <x v="0"/>
    <x v="4"/>
  </r>
  <r>
    <x v="2"/>
    <x v="1"/>
  </r>
  <r>
    <x v="2"/>
    <x v="1"/>
  </r>
  <r>
    <x v="2"/>
    <x v="1"/>
  </r>
  <r>
    <x v="3"/>
    <x v="1"/>
  </r>
  <r>
    <x v="2"/>
    <x v="1"/>
  </r>
  <r>
    <x v="2"/>
    <x v="1"/>
  </r>
  <r>
    <x v="2"/>
    <x v="1"/>
  </r>
  <r>
    <x v="2"/>
    <x v="1"/>
  </r>
  <r>
    <x v="4"/>
    <x v="1"/>
  </r>
  <r>
    <x v="3"/>
    <x v="1"/>
  </r>
  <r>
    <x v="3"/>
    <x v="1"/>
  </r>
  <r>
    <x v="4"/>
    <x v="1"/>
  </r>
  <r>
    <x v="4"/>
    <x v="1"/>
  </r>
  <r>
    <x v="4"/>
    <x v="1"/>
  </r>
  <r>
    <x v="4"/>
    <x v="1"/>
  </r>
  <r>
    <x v="2"/>
    <x v="1"/>
  </r>
  <r>
    <x v="4"/>
    <x v="1"/>
  </r>
  <r>
    <x v="2"/>
    <x v="1"/>
  </r>
  <r>
    <x v="2"/>
    <x v="1"/>
  </r>
  <r>
    <x v="2"/>
    <x v="1"/>
  </r>
  <r>
    <x v="3"/>
    <x v="1"/>
  </r>
  <r>
    <x v="2"/>
    <x v="1"/>
  </r>
  <r>
    <x v="4"/>
    <x v="1"/>
  </r>
  <r>
    <x v="2"/>
    <x v="1"/>
  </r>
  <r>
    <x v="2"/>
    <x v="1"/>
  </r>
  <r>
    <x v="3"/>
    <x v="1"/>
  </r>
  <r>
    <x v="3"/>
    <x v="1"/>
  </r>
  <r>
    <x v="4"/>
    <x v="1"/>
  </r>
  <r>
    <x v="2"/>
    <x v="1"/>
  </r>
  <r>
    <x v="2"/>
    <x v="1"/>
  </r>
  <r>
    <x v="4"/>
    <x v="1"/>
  </r>
  <r>
    <x v="2"/>
    <x v="1"/>
  </r>
  <r>
    <x v="2"/>
    <x v="1"/>
  </r>
  <r>
    <x v="3"/>
    <x v="1"/>
  </r>
  <r>
    <x v="3"/>
    <x v="1"/>
  </r>
  <r>
    <x v="2"/>
    <x v="1"/>
  </r>
  <r>
    <x v="0"/>
    <x v="0"/>
  </r>
  <r>
    <x v="4"/>
    <x v="1"/>
  </r>
  <r>
    <x v="3"/>
    <x v="1"/>
  </r>
  <r>
    <x v="0"/>
    <x v="7"/>
  </r>
  <r>
    <x v="3"/>
    <x v="1"/>
  </r>
  <r>
    <x v="2"/>
    <x v="1"/>
  </r>
  <r>
    <x v="2"/>
    <x v="1"/>
  </r>
  <r>
    <x v="0"/>
    <x v="8"/>
  </r>
  <r>
    <x v="2"/>
    <x v="1"/>
  </r>
  <r>
    <x v="3"/>
    <x v="1"/>
  </r>
  <r>
    <x v="3"/>
    <x v="1"/>
  </r>
  <r>
    <x v="3"/>
    <x v="1"/>
  </r>
  <r>
    <x v="3"/>
    <x v="1"/>
  </r>
  <r>
    <x v="0"/>
    <x v="9"/>
  </r>
  <r>
    <x v="2"/>
    <x v="1"/>
  </r>
  <r>
    <x v="2"/>
    <x v="1"/>
  </r>
  <r>
    <x v="2"/>
    <x v="1"/>
  </r>
  <r>
    <x v="3"/>
    <x v="1"/>
  </r>
  <r>
    <x v="3"/>
    <x v="1"/>
  </r>
  <r>
    <x v="3"/>
    <x v="1"/>
  </r>
  <r>
    <x v="2"/>
    <x v="1"/>
  </r>
  <r>
    <x v="2"/>
    <x v="1"/>
  </r>
  <r>
    <x v="4"/>
    <x v="1"/>
  </r>
  <r>
    <x v="4"/>
    <x v="1"/>
  </r>
  <r>
    <x v="2"/>
    <x v="1"/>
  </r>
  <r>
    <x v="3"/>
    <x v="1"/>
  </r>
  <r>
    <x v="2"/>
    <x v="1"/>
  </r>
  <r>
    <x v="2"/>
    <x v="1"/>
  </r>
  <r>
    <x v="0"/>
    <x v="10"/>
  </r>
  <r>
    <x v="3"/>
    <x v="1"/>
  </r>
  <r>
    <x v="0"/>
    <x v="11"/>
  </r>
  <r>
    <x v="0"/>
    <x v="11"/>
  </r>
  <r>
    <x v="0"/>
    <x v="11"/>
  </r>
  <r>
    <x v="4"/>
    <x v="1"/>
  </r>
  <r>
    <x v="0"/>
    <x v="11"/>
  </r>
  <r>
    <x v="0"/>
    <x v="11"/>
  </r>
  <r>
    <x v="0"/>
    <x v="12"/>
  </r>
  <r>
    <x v="2"/>
    <x v="1"/>
  </r>
  <r>
    <x v="2"/>
    <x v="1"/>
  </r>
  <r>
    <x v="0"/>
    <x v="13"/>
  </r>
  <r>
    <x v="2"/>
    <x v="1"/>
  </r>
  <r>
    <x v="2"/>
    <x v="1"/>
  </r>
  <r>
    <x v="3"/>
    <x v="1"/>
  </r>
  <r>
    <x v="0"/>
    <x v="13"/>
  </r>
  <r>
    <x v="0"/>
    <x v="14"/>
  </r>
  <r>
    <x v="2"/>
    <x v="1"/>
  </r>
  <r>
    <x v="2"/>
    <x v="1"/>
  </r>
  <r>
    <x v="2"/>
    <x v="1"/>
  </r>
  <r>
    <x v="2"/>
    <x v="1"/>
  </r>
  <r>
    <x v="2"/>
    <x v="1"/>
  </r>
  <r>
    <x v="2"/>
    <x v="1"/>
  </r>
  <r>
    <x v="2"/>
    <x v="1"/>
  </r>
  <r>
    <x v="2"/>
    <x v="1"/>
  </r>
  <r>
    <x v="2"/>
    <x v="1"/>
  </r>
  <r>
    <x v="2"/>
    <x v="1"/>
  </r>
  <r>
    <x v="0"/>
    <x v="15"/>
  </r>
  <r>
    <x v="0"/>
    <x v="15"/>
  </r>
  <r>
    <x v="2"/>
    <x v="1"/>
  </r>
  <r>
    <x v="3"/>
    <x v="1"/>
  </r>
  <r>
    <x v="3"/>
    <x v="1"/>
  </r>
  <r>
    <x v="2"/>
    <x v="1"/>
  </r>
  <r>
    <x v="2"/>
    <x v="1"/>
  </r>
  <r>
    <x v="2"/>
    <x v="1"/>
  </r>
  <r>
    <x v="2"/>
    <x v="1"/>
  </r>
  <r>
    <x v="2"/>
    <x v="1"/>
  </r>
  <r>
    <x v="2"/>
    <x v="1"/>
  </r>
  <r>
    <x v="2"/>
    <x v="1"/>
  </r>
  <r>
    <x v="2"/>
    <x v="1"/>
  </r>
  <r>
    <x v="0"/>
    <x v="16"/>
  </r>
  <r>
    <x v="2"/>
    <x v="1"/>
  </r>
  <r>
    <x v="2"/>
    <x v="1"/>
  </r>
  <r>
    <x v="0"/>
    <x v="17"/>
  </r>
  <r>
    <x v="0"/>
    <x v="17"/>
  </r>
  <r>
    <x v="0"/>
    <x v="17"/>
  </r>
  <r>
    <x v="0"/>
    <x v="17"/>
  </r>
  <r>
    <x v="0"/>
    <x v="17"/>
  </r>
  <r>
    <x v="0"/>
    <x v="17"/>
  </r>
  <r>
    <x v="0"/>
    <x v="17"/>
  </r>
  <r>
    <x v="0"/>
    <x v="17"/>
  </r>
  <r>
    <x v="0"/>
    <x v="17"/>
  </r>
  <r>
    <x v="0"/>
    <x v="17"/>
  </r>
  <r>
    <x v="0"/>
    <x v="17"/>
  </r>
  <r>
    <x v="0"/>
    <x v="17"/>
  </r>
  <r>
    <x v="0"/>
    <x v="17"/>
  </r>
  <r>
    <x v="0"/>
    <x v="17"/>
  </r>
  <r>
    <x v="2"/>
    <x v="1"/>
  </r>
  <r>
    <x v="2"/>
    <x v="1"/>
  </r>
  <r>
    <x v="2"/>
    <x v="1"/>
  </r>
  <r>
    <x v="2"/>
    <x v="1"/>
  </r>
  <r>
    <x v="0"/>
    <x v="18"/>
  </r>
  <r>
    <x v="0"/>
    <x v="19"/>
  </r>
  <r>
    <x v="0"/>
    <x v="19"/>
  </r>
  <r>
    <x v="0"/>
    <x v="19"/>
  </r>
  <r>
    <x v="0"/>
    <x v="19"/>
  </r>
  <r>
    <x v="0"/>
    <x v="19"/>
  </r>
  <r>
    <x v="0"/>
    <x v="20"/>
  </r>
  <r>
    <x v="0"/>
    <x v="20"/>
  </r>
  <r>
    <x v="0"/>
    <x v="20"/>
  </r>
  <r>
    <x v="0"/>
    <x v="20"/>
  </r>
  <r>
    <x v="0"/>
    <x v="20"/>
  </r>
  <r>
    <x v="0"/>
    <x v="20"/>
  </r>
  <r>
    <x v="0"/>
    <x v="20"/>
  </r>
  <r>
    <x v="0"/>
    <x v="20"/>
  </r>
  <r>
    <x v="0"/>
    <x v="20"/>
  </r>
  <r>
    <x v="0"/>
    <x v="20"/>
  </r>
  <r>
    <x v="0"/>
    <x v="20"/>
  </r>
  <r>
    <x v="0"/>
    <x v="20"/>
  </r>
  <r>
    <x v="0"/>
    <x v="21"/>
  </r>
  <r>
    <x v="0"/>
    <x v="21"/>
  </r>
  <r>
    <x v="0"/>
    <x v="21"/>
  </r>
  <r>
    <x v="0"/>
    <x v="21"/>
  </r>
  <r>
    <x v="0"/>
    <x v="22"/>
  </r>
  <r>
    <x v="0"/>
    <x v="23"/>
  </r>
  <r>
    <x v="5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CD4F60-4C88-4851-8D83-4D0B82B5266F}" name="피벗 테이블3" cacheId="31" applyNumberFormats="0" applyBorderFormats="0" applyFontFormats="0" applyPatternFormats="0" applyAlignmentFormats="0" applyWidthHeightFormats="1" dataCaption="값" updatedVersion="6" minRefreshableVersion="3" useAutoFormatting="1" itemPrintTitles="1" createdVersion="6" indent="0" outline="1" outlineData="1" multipleFieldFilters="0">
  <location ref="A3:C38" firstHeaderRow="0" firstDataRow="1" firstDataCol="1"/>
  <pivotFields count="2">
    <pivotField axis="axisRow" dataField="1" showAll="0">
      <items count="7">
        <item x="0"/>
        <item x="3"/>
        <item x="1"/>
        <item x="2"/>
        <item x="4"/>
        <item x="5"/>
        <item t="default"/>
      </items>
    </pivotField>
    <pivotField axis="axisRow" dataField="1" showAll="0">
      <items count="25">
        <item x="18"/>
        <item x="22"/>
        <item x="23"/>
        <item x="9"/>
        <item x="2"/>
        <item x="14"/>
        <item x="3"/>
        <item x="8"/>
        <item x="16"/>
        <item x="20"/>
        <item x="4"/>
        <item x="15"/>
        <item x="13"/>
        <item x="12"/>
        <item x="7"/>
        <item x="10"/>
        <item x="17"/>
        <item x="19"/>
        <item x="6"/>
        <item x="0"/>
        <item x="21"/>
        <item x="5"/>
        <item x="11"/>
        <item x="1"/>
        <item t="default"/>
      </items>
    </pivotField>
  </pivotFields>
  <rowFields count="2">
    <field x="0"/>
    <field x="1"/>
  </rowFields>
  <rowItems count="35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>
      <x v="1"/>
    </i>
    <i r="1">
      <x v="23"/>
    </i>
    <i>
      <x v="2"/>
    </i>
    <i r="1">
      <x v="23"/>
    </i>
    <i>
      <x v="3"/>
    </i>
    <i r="1">
      <x v="23"/>
    </i>
    <i>
      <x v="4"/>
    </i>
    <i r="1">
      <x v="23"/>
    </i>
    <i>
      <x v="5"/>
    </i>
    <i r="1">
      <x v="23"/>
    </i>
    <i t="grand">
      <x/>
    </i>
  </rowItems>
  <colFields count="1">
    <field x="-2"/>
  </colFields>
  <colItems count="2">
    <i>
      <x/>
    </i>
    <i i="1">
      <x v="1"/>
    </i>
  </colItems>
  <dataFields count="2">
    <dataField name="개수 : 제외사유" fld="0" subtotal="count" baseField="0" baseItem="0"/>
    <dataField name="개수 : 상세사유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A49FE-DE17-44D1-BE28-5F81FC658207}">
  <dimension ref="A1:J307"/>
  <sheetViews>
    <sheetView tabSelected="1" topLeftCell="A287" workbookViewId="0">
      <selection activeCell="H307" sqref="H307:J307"/>
    </sheetView>
  </sheetViews>
  <sheetFormatPr defaultRowHeight="16.5" x14ac:dyDescent="0.3"/>
  <cols>
    <col min="1" max="1" width="23.5" bestFit="1" customWidth="1"/>
    <col min="2" max="2" width="14.375" bestFit="1" customWidth="1"/>
    <col min="3" max="3" width="17.875" bestFit="1" customWidth="1"/>
    <col min="4" max="4" width="28.25" bestFit="1" customWidth="1"/>
    <col min="5" max="5" width="10.375" style="3" bestFit="1" customWidth="1"/>
    <col min="6" max="6" width="7.125" style="2" bestFit="1" customWidth="1"/>
    <col min="7" max="7" width="21.625" style="3" bestFit="1" customWidth="1"/>
    <col min="8" max="9" width="9.5" style="2" customWidth="1"/>
    <col min="10" max="10" width="15.875" style="2" bestFit="1" customWidth="1"/>
  </cols>
  <sheetData>
    <row r="1" spans="1:10" x14ac:dyDescent="0.3">
      <c r="A1" s="2" t="s">
        <v>3</v>
      </c>
      <c r="B1" s="2" t="s">
        <v>0</v>
      </c>
      <c r="C1" s="2" t="s">
        <v>1</v>
      </c>
      <c r="D1" s="2" t="s">
        <v>82</v>
      </c>
      <c r="E1" s="4" t="s">
        <v>2</v>
      </c>
      <c r="F1" s="2" t="s">
        <v>367</v>
      </c>
      <c r="G1" s="4" t="s">
        <v>368</v>
      </c>
      <c r="H1" s="2" t="s">
        <v>10</v>
      </c>
      <c r="I1" s="2" t="s">
        <v>11</v>
      </c>
      <c r="J1" s="2" t="s">
        <v>240</v>
      </c>
    </row>
    <row r="2" spans="1:10" x14ac:dyDescent="0.3">
      <c r="A2" t="s">
        <v>68</v>
      </c>
      <c r="B2" s="1" t="s">
        <v>370</v>
      </c>
      <c r="C2" s="1" t="s">
        <v>371</v>
      </c>
      <c r="D2" t="s">
        <v>423</v>
      </c>
      <c r="E2" s="3" t="s">
        <v>372</v>
      </c>
      <c r="F2" s="2" t="str">
        <f>RIGHT(SUBSTITUTE(SUBSTITUTE(TRIM(E2)," ",""),"-",""),1)</f>
        <v>6</v>
      </c>
      <c r="G2" s="5" t="s">
        <v>373</v>
      </c>
      <c r="H2" s="2" t="s">
        <v>363</v>
      </c>
      <c r="I2" s="2" t="s">
        <v>363</v>
      </c>
      <c r="J2" s="2" t="s">
        <v>356</v>
      </c>
    </row>
    <row r="3" spans="1:10" x14ac:dyDescent="0.3">
      <c r="A3" s="6" t="s">
        <v>13</v>
      </c>
      <c r="B3" t="s">
        <v>539</v>
      </c>
      <c r="C3" s="7" t="s">
        <v>255</v>
      </c>
      <c r="E3" s="3" t="s">
        <v>540</v>
      </c>
      <c r="F3" s="2" t="str">
        <f t="shared" ref="F3:F66" si="0">RIGHT(SUBSTITUTE(SUBSTITUTE(TRIM(E3)," ",""),"-",""),1)</f>
        <v>1</v>
      </c>
      <c r="G3" s="5" t="s">
        <v>542</v>
      </c>
      <c r="H3" s="2" t="s">
        <v>12</v>
      </c>
      <c r="I3" s="2" t="s">
        <v>12</v>
      </c>
      <c r="J3" s="9" t="s">
        <v>508</v>
      </c>
    </row>
    <row r="4" spans="1:10" x14ac:dyDescent="0.3">
      <c r="A4" t="s">
        <v>78</v>
      </c>
      <c r="B4" s="1" t="s">
        <v>137</v>
      </c>
      <c r="C4" s="1" t="s">
        <v>26</v>
      </c>
      <c r="D4" s="1" t="s">
        <v>81</v>
      </c>
      <c r="E4" s="3" t="s">
        <v>138</v>
      </c>
      <c r="F4" s="2" t="str">
        <f t="shared" si="0"/>
        <v>5</v>
      </c>
      <c r="G4" s="3" t="s">
        <v>369</v>
      </c>
      <c r="H4" s="2" t="s">
        <v>12</v>
      </c>
      <c r="I4" s="2" t="s">
        <v>12</v>
      </c>
      <c r="J4" s="2" t="s">
        <v>426</v>
      </c>
    </row>
    <row r="5" spans="1:10" x14ac:dyDescent="0.3">
      <c r="A5" t="s">
        <v>78</v>
      </c>
      <c r="B5" s="1" t="s">
        <v>135</v>
      </c>
      <c r="C5" s="1" t="s">
        <v>26</v>
      </c>
      <c r="D5" s="1" t="s">
        <v>81</v>
      </c>
      <c r="E5" s="3" t="s">
        <v>136</v>
      </c>
      <c r="F5" s="2" t="str">
        <f t="shared" si="0"/>
        <v>4</v>
      </c>
      <c r="G5" s="3" t="s">
        <v>369</v>
      </c>
      <c r="H5" s="2" t="s">
        <v>12</v>
      </c>
      <c r="I5" s="2" t="s">
        <v>12</v>
      </c>
      <c r="J5" s="2" t="s">
        <v>426</v>
      </c>
    </row>
    <row r="6" spans="1:10" x14ac:dyDescent="0.3">
      <c r="A6" t="s">
        <v>78</v>
      </c>
      <c r="B6" s="1" t="s">
        <v>90</v>
      </c>
      <c r="C6" s="1" t="s">
        <v>26</v>
      </c>
      <c r="D6" s="1" t="s">
        <v>81</v>
      </c>
      <c r="E6" s="3" t="s">
        <v>91</v>
      </c>
      <c r="F6" s="2" t="str">
        <f t="shared" si="0"/>
        <v>3</v>
      </c>
      <c r="G6" s="3" t="s">
        <v>369</v>
      </c>
      <c r="H6" s="2" t="s">
        <v>12</v>
      </c>
      <c r="I6" s="2" t="s">
        <v>12</v>
      </c>
      <c r="J6" s="2" t="s">
        <v>426</v>
      </c>
    </row>
    <row r="7" spans="1:10" x14ac:dyDescent="0.3">
      <c r="A7" t="s">
        <v>78</v>
      </c>
      <c r="B7" s="1" t="s">
        <v>131</v>
      </c>
      <c r="C7" s="1" t="s">
        <v>26</v>
      </c>
      <c r="D7" s="1" t="s">
        <v>81</v>
      </c>
      <c r="E7" s="3" t="s">
        <v>132</v>
      </c>
      <c r="F7" s="2" t="str">
        <f t="shared" si="0"/>
        <v>0</v>
      </c>
      <c r="G7" s="3" t="s">
        <v>369</v>
      </c>
      <c r="H7" s="2" t="s">
        <v>12</v>
      </c>
      <c r="I7" s="2" t="s">
        <v>12</v>
      </c>
      <c r="J7" s="2" t="s">
        <v>356</v>
      </c>
    </row>
    <row r="8" spans="1:10" x14ac:dyDescent="0.3">
      <c r="A8" t="s">
        <v>78</v>
      </c>
      <c r="B8" s="1" t="s">
        <v>83</v>
      </c>
      <c r="C8" s="1" t="s">
        <v>26</v>
      </c>
      <c r="D8" s="1" t="s">
        <v>81</v>
      </c>
      <c r="E8" s="3" t="s">
        <v>84</v>
      </c>
      <c r="F8" s="2" t="str">
        <f t="shared" si="0"/>
        <v>7</v>
      </c>
      <c r="G8" s="3" t="s">
        <v>369</v>
      </c>
      <c r="H8" s="2" t="s">
        <v>12</v>
      </c>
      <c r="I8" s="2" t="s">
        <v>12</v>
      </c>
      <c r="J8" s="2" t="s">
        <v>426</v>
      </c>
    </row>
    <row r="9" spans="1:10" x14ac:dyDescent="0.3">
      <c r="A9" t="s">
        <v>78</v>
      </c>
      <c r="B9" s="1" t="s">
        <v>79</v>
      </c>
      <c r="C9" s="1" t="s">
        <v>26</v>
      </c>
      <c r="D9" s="1" t="s">
        <v>81</v>
      </c>
      <c r="E9" s="3" t="s">
        <v>80</v>
      </c>
      <c r="F9" s="2" t="str">
        <f t="shared" si="0"/>
        <v>3</v>
      </c>
      <c r="G9" s="3" t="s">
        <v>369</v>
      </c>
      <c r="H9" s="2" t="s">
        <v>12</v>
      </c>
      <c r="I9" s="2" t="s">
        <v>12</v>
      </c>
      <c r="J9" s="2" t="s">
        <v>426</v>
      </c>
    </row>
    <row r="10" spans="1:10" x14ac:dyDescent="0.3">
      <c r="A10" t="s">
        <v>187</v>
      </c>
      <c r="B10" s="1" t="s">
        <v>199</v>
      </c>
      <c r="C10" s="1" t="s">
        <v>26</v>
      </c>
      <c r="D10" s="1" t="s">
        <v>169</v>
      </c>
      <c r="E10" s="3" t="s">
        <v>200</v>
      </c>
      <c r="F10" s="2" t="str">
        <f t="shared" si="0"/>
        <v>1</v>
      </c>
      <c r="G10" s="3" t="s">
        <v>369</v>
      </c>
      <c r="H10" s="2" t="s">
        <v>12</v>
      </c>
      <c r="I10" s="2" t="s">
        <v>12</v>
      </c>
      <c r="J10" s="2" t="s">
        <v>426</v>
      </c>
    </row>
    <row r="11" spans="1:10" x14ac:dyDescent="0.3">
      <c r="A11" t="s">
        <v>92</v>
      </c>
      <c r="B11" s="1" t="s">
        <v>198</v>
      </c>
      <c r="C11" s="1" t="s">
        <v>26</v>
      </c>
      <c r="D11" s="1" t="s">
        <v>169</v>
      </c>
      <c r="E11" s="3" t="s">
        <v>456</v>
      </c>
      <c r="F11" s="2" t="str">
        <f t="shared" si="0"/>
        <v>9</v>
      </c>
      <c r="G11" s="3" t="s">
        <v>369</v>
      </c>
      <c r="H11" s="2" t="s">
        <v>12</v>
      </c>
      <c r="I11" s="2" t="s">
        <v>12</v>
      </c>
      <c r="J11" s="2" t="s">
        <v>426</v>
      </c>
    </row>
    <row r="12" spans="1:10" x14ac:dyDescent="0.3">
      <c r="A12" t="s">
        <v>13</v>
      </c>
      <c r="B12" s="1" t="s">
        <v>201</v>
      </c>
      <c r="C12" s="1" t="s">
        <v>26</v>
      </c>
      <c r="D12" s="1" t="s">
        <v>169</v>
      </c>
      <c r="E12" s="3" t="s">
        <v>202</v>
      </c>
      <c r="F12" s="2" t="str">
        <f t="shared" si="0"/>
        <v>3</v>
      </c>
      <c r="G12" s="3" t="s">
        <v>369</v>
      </c>
      <c r="H12" s="2" t="s">
        <v>12</v>
      </c>
      <c r="I12" s="2" t="s">
        <v>12</v>
      </c>
      <c r="J12" s="2" t="s">
        <v>426</v>
      </c>
    </row>
    <row r="13" spans="1:10" x14ac:dyDescent="0.3">
      <c r="A13" t="s">
        <v>68</v>
      </c>
      <c r="B13" s="1" t="s">
        <v>168</v>
      </c>
      <c r="C13" s="1" t="s">
        <v>26</v>
      </c>
      <c r="D13" s="1" t="s">
        <v>169</v>
      </c>
      <c r="E13" s="3" t="s">
        <v>170</v>
      </c>
      <c r="F13" s="2" t="str">
        <f t="shared" si="0"/>
        <v>9</v>
      </c>
      <c r="G13" s="3" t="s">
        <v>369</v>
      </c>
      <c r="H13" s="2" t="s">
        <v>12</v>
      </c>
      <c r="I13" s="2" t="s">
        <v>12</v>
      </c>
      <c r="J13" s="2" t="s">
        <v>426</v>
      </c>
    </row>
    <row r="14" spans="1:10" x14ac:dyDescent="0.3">
      <c r="A14" t="s">
        <v>58</v>
      </c>
      <c r="B14" s="1" t="s">
        <v>190</v>
      </c>
      <c r="C14" s="1" t="s">
        <v>26</v>
      </c>
      <c r="D14" s="1" t="s">
        <v>169</v>
      </c>
      <c r="E14" s="3" t="s">
        <v>191</v>
      </c>
      <c r="F14" s="2" t="str">
        <f t="shared" si="0"/>
        <v>7</v>
      </c>
      <c r="G14" s="3" t="s">
        <v>369</v>
      </c>
      <c r="H14" s="2" t="s">
        <v>12</v>
      </c>
      <c r="I14" s="2" t="s">
        <v>12</v>
      </c>
      <c r="J14" s="2" t="s">
        <v>426</v>
      </c>
    </row>
    <row r="15" spans="1:10" x14ac:dyDescent="0.3">
      <c r="A15" t="s">
        <v>187</v>
      </c>
      <c r="B15" s="1" t="s">
        <v>196</v>
      </c>
      <c r="C15" s="1" t="s">
        <v>26</v>
      </c>
      <c r="D15" s="1" t="s">
        <v>169</v>
      </c>
      <c r="E15" s="3" t="s">
        <v>197</v>
      </c>
      <c r="F15" s="2" t="str">
        <f t="shared" si="0"/>
        <v>4</v>
      </c>
      <c r="G15" s="3" t="s">
        <v>369</v>
      </c>
      <c r="H15" s="2" t="s">
        <v>12</v>
      </c>
      <c r="I15" s="2" t="s">
        <v>12</v>
      </c>
      <c r="J15" s="2" t="s">
        <v>426</v>
      </c>
    </row>
    <row r="16" spans="1:10" x14ac:dyDescent="0.3">
      <c r="A16" t="s">
        <v>13</v>
      </c>
      <c r="B16" s="1" t="s">
        <v>171</v>
      </c>
      <c r="C16" s="1" t="s">
        <v>26</v>
      </c>
      <c r="D16" s="1" t="s">
        <v>169</v>
      </c>
      <c r="E16" s="3" t="s">
        <v>172</v>
      </c>
      <c r="F16" s="2" t="str">
        <f t="shared" si="0"/>
        <v>8</v>
      </c>
      <c r="G16" s="3" t="s">
        <v>369</v>
      </c>
      <c r="H16" s="2" t="s">
        <v>12</v>
      </c>
      <c r="I16" s="2" t="s">
        <v>12</v>
      </c>
      <c r="J16" s="2" t="s">
        <v>426</v>
      </c>
    </row>
    <row r="17" spans="1:10" x14ac:dyDescent="0.3">
      <c r="A17" t="s">
        <v>78</v>
      </c>
      <c r="B17" s="1" t="s">
        <v>213</v>
      </c>
      <c r="C17" s="1" t="s">
        <v>26</v>
      </c>
      <c r="D17" s="1" t="s">
        <v>214</v>
      </c>
      <c r="E17" s="3" t="s">
        <v>215</v>
      </c>
      <c r="F17" s="2" t="str">
        <f t="shared" si="0"/>
        <v>0</v>
      </c>
      <c r="G17" s="3" t="s">
        <v>369</v>
      </c>
      <c r="H17" s="2" t="s">
        <v>12</v>
      </c>
      <c r="I17" s="2" t="s">
        <v>12</v>
      </c>
      <c r="J17" s="2" t="s">
        <v>426</v>
      </c>
    </row>
    <row r="18" spans="1:10" x14ac:dyDescent="0.3">
      <c r="A18" t="s">
        <v>78</v>
      </c>
      <c r="B18" s="1" t="s">
        <v>216</v>
      </c>
      <c r="C18" s="1" t="s">
        <v>26</v>
      </c>
      <c r="D18" s="1" t="s">
        <v>214</v>
      </c>
      <c r="E18" s="3" t="s">
        <v>217</v>
      </c>
      <c r="F18" s="2" t="str">
        <f t="shared" si="0"/>
        <v>7</v>
      </c>
      <c r="G18" s="3" t="s">
        <v>369</v>
      </c>
      <c r="H18" s="2" t="s">
        <v>12</v>
      </c>
      <c r="I18" s="2" t="s">
        <v>12</v>
      </c>
      <c r="J18" s="2" t="s">
        <v>426</v>
      </c>
    </row>
    <row r="19" spans="1:10" x14ac:dyDescent="0.3">
      <c r="A19" t="s">
        <v>78</v>
      </c>
      <c r="B19" s="1" t="s">
        <v>218</v>
      </c>
      <c r="C19" s="1" t="s">
        <v>26</v>
      </c>
      <c r="D19" s="1" t="s">
        <v>214</v>
      </c>
      <c r="E19" s="3" t="s">
        <v>219</v>
      </c>
      <c r="F19" s="2" t="str">
        <f t="shared" si="0"/>
        <v>3</v>
      </c>
      <c r="G19" s="3" t="s">
        <v>369</v>
      </c>
      <c r="H19" s="2" t="s">
        <v>12</v>
      </c>
      <c r="I19" s="2" t="s">
        <v>12</v>
      </c>
      <c r="J19" s="2" t="s">
        <v>426</v>
      </c>
    </row>
    <row r="20" spans="1:10" x14ac:dyDescent="0.3">
      <c r="A20" t="s">
        <v>78</v>
      </c>
      <c r="B20" s="1" t="s">
        <v>220</v>
      </c>
      <c r="C20" s="1" t="s">
        <v>26</v>
      </c>
      <c r="D20" s="1" t="s">
        <v>214</v>
      </c>
      <c r="E20" s="3" t="s">
        <v>221</v>
      </c>
      <c r="F20" s="2" t="str">
        <f t="shared" si="0"/>
        <v>9</v>
      </c>
      <c r="G20" s="3" t="s">
        <v>369</v>
      </c>
      <c r="H20" s="2" t="s">
        <v>12</v>
      </c>
      <c r="I20" s="2" t="s">
        <v>12</v>
      </c>
      <c r="J20" s="2" t="s">
        <v>426</v>
      </c>
    </row>
    <row r="21" spans="1:10" x14ac:dyDescent="0.3">
      <c r="A21" t="s">
        <v>78</v>
      </c>
      <c r="B21" s="1" t="s">
        <v>222</v>
      </c>
      <c r="C21" s="1" t="s">
        <v>26</v>
      </c>
      <c r="D21" s="1" t="s">
        <v>214</v>
      </c>
      <c r="E21" s="3" t="s">
        <v>223</v>
      </c>
      <c r="F21" s="2" t="str">
        <f t="shared" si="0"/>
        <v>1</v>
      </c>
      <c r="G21" s="3" t="s">
        <v>369</v>
      </c>
      <c r="H21" s="2" t="s">
        <v>12</v>
      </c>
      <c r="I21" s="2" t="s">
        <v>12</v>
      </c>
      <c r="J21" s="2" t="s">
        <v>426</v>
      </c>
    </row>
    <row r="22" spans="1:10" x14ac:dyDescent="0.3">
      <c r="A22" t="s">
        <v>78</v>
      </c>
      <c r="B22" s="1" t="s">
        <v>224</v>
      </c>
      <c r="C22" s="1" t="s">
        <v>26</v>
      </c>
      <c r="D22" s="1" t="s">
        <v>214</v>
      </c>
      <c r="E22" s="3" t="s">
        <v>225</v>
      </c>
      <c r="F22" s="2" t="str">
        <f t="shared" si="0"/>
        <v>8</v>
      </c>
      <c r="G22" s="3" t="s">
        <v>369</v>
      </c>
      <c r="H22" s="2" t="s">
        <v>12</v>
      </c>
      <c r="I22" s="2" t="s">
        <v>12</v>
      </c>
      <c r="J22" s="2" t="s">
        <v>426</v>
      </c>
    </row>
    <row r="23" spans="1:10" x14ac:dyDescent="0.3">
      <c r="A23" t="s">
        <v>78</v>
      </c>
      <c r="B23" s="1" t="s">
        <v>226</v>
      </c>
      <c r="C23" s="1" t="s">
        <v>26</v>
      </c>
      <c r="D23" s="1" t="s">
        <v>214</v>
      </c>
      <c r="E23" s="3" t="s">
        <v>227</v>
      </c>
      <c r="F23" s="2" t="str">
        <f t="shared" si="0"/>
        <v>8</v>
      </c>
      <c r="G23" s="3" t="s">
        <v>369</v>
      </c>
      <c r="H23" s="2" t="s">
        <v>12</v>
      </c>
      <c r="I23" s="2" t="s">
        <v>12</v>
      </c>
      <c r="J23" s="2" t="s">
        <v>426</v>
      </c>
    </row>
    <row r="24" spans="1:10" x14ac:dyDescent="0.3">
      <c r="A24" t="s">
        <v>78</v>
      </c>
      <c r="B24" s="1" t="s">
        <v>228</v>
      </c>
      <c r="C24" s="1" t="s">
        <v>26</v>
      </c>
      <c r="D24" s="1" t="s">
        <v>214</v>
      </c>
      <c r="E24" s="3" t="s">
        <v>229</v>
      </c>
      <c r="F24" s="2" t="str">
        <f t="shared" si="0"/>
        <v>4</v>
      </c>
      <c r="G24" s="3" t="s">
        <v>369</v>
      </c>
      <c r="H24" s="2" t="s">
        <v>12</v>
      </c>
      <c r="I24" s="2" t="s">
        <v>12</v>
      </c>
      <c r="J24" s="2" t="s">
        <v>426</v>
      </c>
    </row>
    <row r="25" spans="1:10" x14ac:dyDescent="0.3">
      <c r="A25" t="s">
        <v>78</v>
      </c>
      <c r="B25" s="1" t="s">
        <v>230</v>
      </c>
      <c r="C25" s="1" t="s">
        <v>26</v>
      </c>
      <c r="D25" s="1" t="s">
        <v>214</v>
      </c>
      <c r="E25" s="3" t="s">
        <v>231</v>
      </c>
      <c r="F25" s="2" t="str">
        <f t="shared" si="0"/>
        <v>4</v>
      </c>
      <c r="G25" s="3" t="s">
        <v>369</v>
      </c>
      <c r="H25" s="2" t="s">
        <v>12</v>
      </c>
      <c r="I25" s="2" t="s">
        <v>12</v>
      </c>
      <c r="J25" s="2" t="s">
        <v>426</v>
      </c>
    </row>
    <row r="26" spans="1:10" x14ac:dyDescent="0.3">
      <c r="A26" t="s">
        <v>123</v>
      </c>
      <c r="B26" s="1" t="s">
        <v>124</v>
      </c>
      <c r="C26" s="1" t="s">
        <v>26</v>
      </c>
      <c r="D26" s="1" t="s">
        <v>285</v>
      </c>
      <c r="E26" s="3" t="s">
        <v>125</v>
      </c>
      <c r="F26" s="2" t="str">
        <f t="shared" si="0"/>
        <v>4</v>
      </c>
      <c r="G26" s="3" t="s">
        <v>369</v>
      </c>
      <c r="H26" s="2" t="s">
        <v>12</v>
      </c>
      <c r="I26" s="2" t="s">
        <v>12</v>
      </c>
      <c r="J26" s="2" t="s">
        <v>426</v>
      </c>
    </row>
    <row r="27" spans="1:10" x14ac:dyDescent="0.3">
      <c r="A27" t="s">
        <v>13</v>
      </c>
      <c r="B27" s="1" t="s">
        <v>25</v>
      </c>
      <c r="C27" s="1" t="s">
        <v>26</v>
      </c>
      <c r="D27" s="1" t="s">
        <v>285</v>
      </c>
      <c r="E27" s="3" t="s">
        <v>27</v>
      </c>
      <c r="F27" s="2" t="str">
        <f t="shared" si="0"/>
        <v>5</v>
      </c>
      <c r="G27" s="3" t="s">
        <v>369</v>
      </c>
      <c r="H27" s="2" t="s">
        <v>12</v>
      </c>
      <c r="I27" s="2" t="s">
        <v>12</v>
      </c>
      <c r="J27" s="2" t="s">
        <v>426</v>
      </c>
    </row>
    <row r="28" spans="1:10" x14ac:dyDescent="0.3">
      <c r="A28" t="s">
        <v>43</v>
      </c>
      <c r="B28" s="1" t="s">
        <v>44</v>
      </c>
      <c r="C28" s="1" t="s">
        <v>26</v>
      </c>
      <c r="D28" s="1" t="s">
        <v>286</v>
      </c>
      <c r="E28" s="3" t="s">
        <v>45</v>
      </c>
      <c r="F28" s="2" t="str">
        <f t="shared" si="0"/>
        <v>4</v>
      </c>
      <c r="G28" s="3" t="s">
        <v>369</v>
      </c>
      <c r="H28" s="2" t="s">
        <v>12</v>
      </c>
      <c r="I28" s="2" t="s">
        <v>12</v>
      </c>
      <c r="J28" s="2" t="s">
        <v>426</v>
      </c>
    </row>
    <row r="29" spans="1:10" x14ac:dyDescent="0.3">
      <c r="A29" t="s">
        <v>13</v>
      </c>
      <c r="B29" s="1" t="s">
        <v>53</v>
      </c>
      <c r="C29" s="1" t="s">
        <v>4</v>
      </c>
      <c r="D29" s="1"/>
      <c r="E29" s="3" t="s">
        <v>54</v>
      </c>
      <c r="F29" s="2" t="str">
        <f t="shared" si="0"/>
        <v>1</v>
      </c>
      <c r="G29" s="3" t="s">
        <v>369</v>
      </c>
      <c r="H29" s="2" t="s">
        <v>12</v>
      </c>
      <c r="I29" s="2" t="s">
        <v>12</v>
      </c>
      <c r="J29" s="2" t="s">
        <v>426</v>
      </c>
    </row>
    <row r="30" spans="1:10" x14ac:dyDescent="0.3">
      <c r="A30" t="s">
        <v>63</v>
      </c>
      <c r="B30" s="1" t="s">
        <v>141</v>
      </c>
      <c r="C30" s="1" t="s">
        <v>4</v>
      </c>
      <c r="D30" s="1"/>
      <c r="E30" s="3" t="s">
        <v>142</v>
      </c>
      <c r="F30" s="2" t="str">
        <f t="shared" si="0"/>
        <v>0</v>
      </c>
      <c r="G30" s="3" t="s">
        <v>369</v>
      </c>
      <c r="H30" s="2" t="s">
        <v>12</v>
      </c>
      <c r="I30" s="2" t="s">
        <v>12</v>
      </c>
      <c r="J30" s="2" t="s">
        <v>426</v>
      </c>
    </row>
    <row r="31" spans="1:10" x14ac:dyDescent="0.3">
      <c r="A31" t="s">
        <v>13</v>
      </c>
      <c r="B31" s="1" t="s">
        <v>14</v>
      </c>
      <c r="C31" s="1" t="s">
        <v>16</v>
      </c>
      <c r="D31" s="1"/>
      <c r="E31" s="3" t="s">
        <v>15</v>
      </c>
      <c r="F31" s="2" t="str">
        <f t="shared" si="0"/>
        <v>7</v>
      </c>
      <c r="G31" s="3" t="s">
        <v>369</v>
      </c>
      <c r="H31" s="2" t="s">
        <v>12</v>
      </c>
      <c r="I31" s="2" t="s">
        <v>12</v>
      </c>
      <c r="J31" s="2" t="s">
        <v>426</v>
      </c>
    </row>
    <row r="32" spans="1:10" x14ac:dyDescent="0.3">
      <c r="A32" t="s">
        <v>8</v>
      </c>
      <c r="B32" s="1" t="s">
        <v>162</v>
      </c>
      <c r="C32" s="1" t="s">
        <v>4</v>
      </c>
      <c r="D32" s="1"/>
      <c r="E32" s="3" t="s">
        <v>163</v>
      </c>
      <c r="F32" s="2" t="str">
        <f t="shared" si="0"/>
        <v>0</v>
      </c>
      <c r="G32" s="3" t="s">
        <v>369</v>
      </c>
      <c r="H32" s="2" t="s">
        <v>12</v>
      </c>
      <c r="I32" s="2" t="s">
        <v>12</v>
      </c>
      <c r="J32" s="2" t="s">
        <v>426</v>
      </c>
    </row>
    <row r="33" spans="1:10" x14ac:dyDescent="0.3">
      <c r="A33" t="s">
        <v>13</v>
      </c>
      <c r="B33" s="1" t="s">
        <v>266</v>
      </c>
      <c r="C33" s="1" t="s">
        <v>4</v>
      </c>
      <c r="D33" s="1"/>
      <c r="E33" s="3" t="s">
        <v>267</v>
      </c>
      <c r="F33" s="2" t="str">
        <f t="shared" si="0"/>
        <v>4</v>
      </c>
      <c r="G33" s="3" t="s">
        <v>369</v>
      </c>
      <c r="H33" s="2" t="s">
        <v>12</v>
      </c>
      <c r="I33" s="2" t="s">
        <v>12</v>
      </c>
      <c r="J33" s="2" t="s">
        <v>426</v>
      </c>
    </row>
    <row r="34" spans="1:10" x14ac:dyDescent="0.3">
      <c r="A34" t="s">
        <v>19</v>
      </c>
      <c r="B34" s="1" t="s">
        <v>271</v>
      </c>
      <c r="C34" s="1" t="s">
        <v>29</v>
      </c>
      <c r="D34" s="1"/>
      <c r="E34" s="3" t="s">
        <v>272</v>
      </c>
      <c r="F34" s="2" t="str">
        <f t="shared" si="0"/>
        <v>3</v>
      </c>
      <c r="G34" s="3" t="s">
        <v>369</v>
      </c>
      <c r="H34" s="2" t="s">
        <v>12</v>
      </c>
      <c r="I34" s="2" t="s">
        <v>12</v>
      </c>
      <c r="J34" s="2" t="s">
        <v>426</v>
      </c>
    </row>
    <row r="35" spans="1:10" x14ac:dyDescent="0.3">
      <c r="A35" t="s">
        <v>55</v>
      </c>
      <c r="B35" s="1" t="s">
        <v>56</v>
      </c>
      <c r="C35" s="1" t="s">
        <v>16</v>
      </c>
      <c r="D35" s="1"/>
      <c r="E35" s="3" t="s">
        <v>57</v>
      </c>
      <c r="F35" s="2" t="str">
        <f t="shared" si="0"/>
        <v>4</v>
      </c>
      <c r="G35" s="3" t="s">
        <v>369</v>
      </c>
      <c r="H35" s="2" t="s">
        <v>12</v>
      </c>
      <c r="I35" s="2" t="s">
        <v>12</v>
      </c>
      <c r="J35" s="2" t="s">
        <v>426</v>
      </c>
    </row>
    <row r="36" spans="1:10" x14ac:dyDescent="0.3">
      <c r="A36" t="s">
        <v>119</v>
      </c>
      <c r="B36" s="1" t="s">
        <v>120</v>
      </c>
      <c r="C36" s="1" t="s">
        <v>16</v>
      </c>
      <c r="D36" s="1"/>
      <c r="E36" s="3" t="s">
        <v>121</v>
      </c>
      <c r="F36" s="2" t="str">
        <f t="shared" si="0"/>
        <v>2</v>
      </c>
      <c r="G36" s="3" t="s">
        <v>369</v>
      </c>
      <c r="H36" s="2" t="s">
        <v>12</v>
      </c>
      <c r="I36" s="2" t="s">
        <v>12</v>
      </c>
      <c r="J36" s="2" t="s">
        <v>426</v>
      </c>
    </row>
    <row r="37" spans="1:10" x14ac:dyDescent="0.3">
      <c r="A37" t="s">
        <v>119</v>
      </c>
      <c r="B37" s="1" t="s">
        <v>120</v>
      </c>
      <c r="C37" s="1" t="s">
        <v>16</v>
      </c>
      <c r="D37" s="1"/>
      <c r="E37" s="3" t="s">
        <v>122</v>
      </c>
      <c r="F37" s="2" t="str">
        <f t="shared" si="0"/>
        <v>2</v>
      </c>
      <c r="G37" s="3" t="s">
        <v>369</v>
      </c>
      <c r="H37" s="2" t="s">
        <v>12</v>
      </c>
      <c r="I37" s="2" t="s">
        <v>12</v>
      </c>
      <c r="J37" s="2" t="s">
        <v>426</v>
      </c>
    </row>
    <row r="38" spans="1:10" x14ac:dyDescent="0.3">
      <c r="A38" t="s">
        <v>31</v>
      </c>
      <c r="B38" s="1" t="s">
        <v>51</v>
      </c>
      <c r="C38" s="1" t="s">
        <v>4</v>
      </c>
      <c r="D38" s="1"/>
      <c r="E38" s="3" t="s">
        <v>52</v>
      </c>
      <c r="F38" s="2" t="str">
        <f t="shared" si="0"/>
        <v>3</v>
      </c>
      <c r="G38" s="3" t="s">
        <v>369</v>
      </c>
      <c r="H38" s="2" t="s">
        <v>12</v>
      </c>
      <c r="I38" s="2" t="s">
        <v>12</v>
      </c>
      <c r="J38" s="2" t="s">
        <v>426</v>
      </c>
    </row>
    <row r="39" spans="1:10" x14ac:dyDescent="0.3">
      <c r="A39" t="s">
        <v>19</v>
      </c>
      <c r="B39" s="1" t="s">
        <v>28</v>
      </c>
      <c r="C39" s="1" t="s">
        <v>29</v>
      </c>
      <c r="D39" s="1"/>
      <c r="E39" s="3" t="s">
        <v>30</v>
      </c>
      <c r="F39" s="2" t="str">
        <f t="shared" si="0"/>
        <v>5</v>
      </c>
      <c r="G39" s="3" t="s">
        <v>369</v>
      </c>
      <c r="H39" s="2" t="s">
        <v>12</v>
      </c>
      <c r="I39" s="2" t="s">
        <v>12</v>
      </c>
      <c r="J39" s="2" t="s">
        <v>426</v>
      </c>
    </row>
    <row r="40" spans="1:10" x14ac:dyDescent="0.3">
      <c r="A40" t="s">
        <v>58</v>
      </c>
      <c r="B40" s="1" t="s">
        <v>260</v>
      </c>
      <c r="C40" s="1" t="s">
        <v>29</v>
      </c>
      <c r="D40" s="1"/>
      <c r="E40" s="3" t="s">
        <v>261</v>
      </c>
      <c r="F40" s="2" t="str">
        <f t="shared" si="0"/>
        <v>3</v>
      </c>
      <c r="G40" s="3" t="s">
        <v>369</v>
      </c>
      <c r="H40" s="2" t="s">
        <v>12</v>
      </c>
      <c r="I40" s="2" t="s">
        <v>12</v>
      </c>
      <c r="J40" s="2" t="s">
        <v>426</v>
      </c>
    </row>
    <row r="41" spans="1:10" x14ac:dyDescent="0.3">
      <c r="A41" t="s">
        <v>48</v>
      </c>
      <c r="B41" s="1" t="s">
        <v>252</v>
      </c>
      <c r="C41" s="1" t="s">
        <v>4</v>
      </c>
      <c r="D41" s="1"/>
      <c r="E41" s="3" t="s">
        <v>253</v>
      </c>
      <c r="F41" s="2" t="str">
        <f t="shared" si="0"/>
        <v>8</v>
      </c>
      <c r="G41" s="3" t="s">
        <v>369</v>
      </c>
      <c r="H41" s="2" t="s">
        <v>12</v>
      </c>
      <c r="I41" s="2" t="s">
        <v>12</v>
      </c>
      <c r="J41" s="2" t="s">
        <v>426</v>
      </c>
    </row>
    <row r="42" spans="1:10" x14ac:dyDescent="0.3">
      <c r="A42" t="s">
        <v>71</v>
      </c>
      <c r="B42" s="1" t="s">
        <v>72</v>
      </c>
      <c r="C42" s="1" t="s">
        <v>29</v>
      </c>
      <c r="D42" s="1"/>
      <c r="E42" s="3" t="s">
        <v>73</v>
      </c>
      <c r="F42" s="2" t="str">
        <f t="shared" si="0"/>
        <v>8</v>
      </c>
      <c r="G42" s="3" t="s">
        <v>369</v>
      </c>
      <c r="H42" s="2" t="s">
        <v>12</v>
      </c>
      <c r="I42" s="2" t="s">
        <v>12</v>
      </c>
      <c r="J42" s="2" t="s">
        <v>426</v>
      </c>
    </row>
    <row r="43" spans="1:10" x14ac:dyDescent="0.3">
      <c r="A43" t="s">
        <v>5</v>
      </c>
      <c r="B43" s="1" t="s">
        <v>106</v>
      </c>
      <c r="C43" s="1" t="s">
        <v>29</v>
      </c>
      <c r="D43" s="1"/>
      <c r="E43" s="3" t="s">
        <v>107</v>
      </c>
      <c r="F43" s="2" t="str">
        <f t="shared" si="0"/>
        <v>4</v>
      </c>
      <c r="G43" s="3" t="s">
        <v>369</v>
      </c>
      <c r="H43" s="2" t="s">
        <v>12</v>
      </c>
      <c r="I43" s="2" t="s">
        <v>12</v>
      </c>
      <c r="J43" s="2" t="s">
        <v>426</v>
      </c>
    </row>
    <row r="44" spans="1:10" x14ac:dyDescent="0.3">
      <c r="A44" t="s">
        <v>242</v>
      </c>
      <c r="B44" s="1" t="s">
        <v>241</v>
      </c>
      <c r="C44" s="1" t="s">
        <v>4</v>
      </c>
      <c r="D44" s="1"/>
      <c r="E44" s="3" t="s">
        <v>243</v>
      </c>
      <c r="F44" s="2" t="str">
        <f t="shared" si="0"/>
        <v>7</v>
      </c>
      <c r="G44" s="3" t="s">
        <v>369</v>
      </c>
      <c r="H44" s="2" t="s">
        <v>12</v>
      </c>
      <c r="I44" s="2" t="s">
        <v>12</v>
      </c>
      <c r="J44" s="2" t="s">
        <v>426</v>
      </c>
    </row>
    <row r="45" spans="1:10" x14ac:dyDescent="0.3">
      <c r="A45" t="s">
        <v>19</v>
      </c>
      <c r="B45" s="1" t="s">
        <v>20</v>
      </c>
      <c r="C45" s="1" t="s">
        <v>16</v>
      </c>
      <c r="D45" s="1"/>
      <c r="E45" s="3" t="s">
        <v>21</v>
      </c>
      <c r="F45" s="2" t="str">
        <f t="shared" si="0"/>
        <v>7</v>
      </c>
      <c r="G45" s="3" t="s">
        <v>369</v>
      </c>
      <c r="H45" s="2" t="s">
        <v>12</v>
      </c>
      <c r="I45" s="2" t="s">
        <v>12</v>
      </c>
      <c r="J45" s="2" t="s">
        <v>426</v>
      </c>
    </row>
    <row r="46" spans="1:10" x14ac:dyDescent="0.3">
      <c r="A46" t="s">
        <v>8</v>
      </c>
      <c r="B46" s="1" t="s">
        <v>95</v>
      </c>
      <c r="C46" s="1" t="s">
        <v>4</v>
      </c>
      <c r="D46" s="1"/>
      <c r="E46" s="3" t="s">
        <v>259</v>
      </c>
      <c r="F46" s="2" t="str">
        <f t="shared" si="0"/>
        <v>8</v>
      </c>
      <c r="G46" s="3" t="s">
        <v>369</v>
      </c>
      <c r="H46" s="2" t="s">
        <v>12</v>
      </c>
      <c r="I46" s="2" t="s">
        <v>12</v>
      </c>
      <c r="J46" s="2" t="s">
        <v>426</v>
      </c>
    </row>
    <row r="47" spans="1:10" x14ac:dyDescent="0.3">
      <c r="A47" t="s">
        <v>31</v>
      </c>
      <c r="B47" s="1" t="s">
        <v>37</v>
      </c>
      <c r="C47" s="1" t="s">
        <v>4</v>
      </c>
      <c r="D47" s="1"/>
      <c r="E47" s="3" t="s">
        <v>167</v>
      </c>
      <c r="F47" s="2" t="str">
        <f t="shared" si="0"/>
        <v>5</v>
      </c>
      <c r="G47" s="3" t="s">
        <v>369</v>
      </c>
      <c r="H47" s="2" t="s">
        <v>12</v>
      </c>
      <c r="I47" s="2" t="s">
        <v>12</v>
      </c>
      <c r="J47" s="2" t="s">
        <v>426</v>
      </c>
    </row>
    <row r="48" spans="1:10" x14ac:dyDescent="0.3">
      <c r="A48" t="s">
        <v>48</v>
      </c>
      <c r="B48" s="1" t="s">
        <v>155</v>
      </c>
      <c r="C48" s="1" t="s">
        <v>4</v>
      </c>
      <c r="D48" s="1"/>
      <c r="E48" s="3" t="s">
        <v>156</v>
      </c>
      <c r="F48" s="2" t="str">
        <f t="shared" si="0"/>
        <v>0</v>
      </c>
      <c r="G48" s="3" t="s">
        <v>369</v>
      </c>
      <c r="H48" s="2" t="s">
        <v>12</v>
      </c>
      <c r="I48" s="2" t="s">
        <v>12</v>
      </c>
      <c r="J48" s="2" t="s">
        <v>426</v>
      </c>
    </row>
    <row r="49" spans="1:10" x14ac:dyDescent="0.3">
      <c r="A49" t="s">
        <v>63</v>
      </c>
      <c r="B49" s="1" t="s">
        <v>280</v>
      </c>
      <c r="C49" s="1" t="s">
        <v>29</v>
      </c>
      <c r="D49" s="1"/>
      <c r="E49" s="3" t="s">
        <v>281</v>
      </c>
      <c r="F49" s="2" t="str">
        <f t="shared" si="0"/>
        <v>4</v>
      </c>
      <c r="G49" s="3" t="s">
        <v>369</v>
      </c>
      <c r="H49" s="2" t="s">
        <v>12</v>
      </c>
      <c r="I49" s="2" t="s">
        <v>12</v>
      </c>
      <c r="J49" s="2" t="s">
        <v>426</v>
      </c>
    </row>
    <row r="50" spans="1:10" x14ac:dyDescent="0.3">
      <c r="A50" t="s">
        <v>22</v>
      </c>
      <c r="B50" s="1" t="s">
        <v>23</v>
      </c>
      <c r="C50" s="1" t="s">
        <v>16</v>
      </c>
      <c r="D50" s="1"/>
      <c r="E50" s="3" t="s">
        <v>24</v>
      </c>
      <c r="F50" s="2" t="str">
        <f t="shared" si="0"/>
        <v>4</v>
      </c>
      <c r="G50" s="3" t="s">
        <v>369</v>
      </c>
      <c r="H50" s="2" t="s">
        <v>12</v>
      </c>
      <c r="I50" s="2" t="s">
        <v>12</v>
      </c>
      <c r="J50" s="2" t="s">
        <v>426</v>
      </c>
    </row>
    <row r="51" spans="1:10" x14ac:dyDescent="0.3">
      <c r="A51" t="s">
        <v>68</v>
      </c>
      <c r="B51" s="1" t="s">
        <v>127</v>
      </c>
      <c r="C51" s="1" t="s">
        <v>4</v>
      </c>
      <c r="D51" s="1"/>
      <c r="E51" s="3" t="s">
        <v>128</v>
      </c>
      <c r="F51" s="2" t="str">
        <f t="shared" si="0"/>
        <v>3</v>
      </c>
      <c r="G51" s="3" t="s">
        <v>369</v>
      </c>
      <c r="H51" s="2" t="s">
        <v>12</v>
      </c>
      <c r="I51" s="2" t="s">
        <v>12</v>
      </c>
      <c r="J51" s="2" t="s">
        <v>426</v>
      </c>
    </row>
    <row r="52" spans="1:10" x14ac:dyDescent="0.3">
      <c r="A52" t="s">
        <v>245</v>
      </c>
      <c r="B52" s="1" t="s">
        <v>244</v>
      </c>
      <c r="C52" s="1" t="s">
        <v>29</v>
      </c>
      <c r="D52" s="1"/>
      <c r="E52" s="3" t="s">
        <v>246</v>
      </c>
      <c r="F52" s="2" t="str">
        <f t="shared" si="0"/>
        <v>2</v>
      </c>
      <c r="G52" s="3" t="s">
        <v>369</v>
      </c>
      <c r="H52" s="2" t="s">
        <v>12</v>
      </c>
      <c r="I52" s="2" t="s">
        <v>12</v>
      </c>
      <c r="J52" s="2" t="s">
        <v>426</v>
      </c>
    </row>
    <row r="53" spans="1:10" x14ac:dyDescent="0.3">
      <c r="A53" t="s">
        <v>63</v>
      </c>
      <c r="B53" s="1" t="s">
        <v>64</v>
      </c>
      <c r="C53" s="1" t="s">
        <v>29</v>
      </c>
      <c r="D53" s="1"/>
      <c r="E53" s="3" t="s">
        <v>65</v>
      </c>
      <c r="F53" s="2" t="str">
        <f t="shared" si="0"/>
        <v>1</v>
      </c>
      <c r="G53" s="3" t="s">
        <v>369</v>
      </c>
      <c r="H53" s="2" t="s">
        <v>12</v>
      </c>
      <c r="I53" s="2" t="s">
        <v>12</v>
      </c>
      <c r="J53" s="2" t="s">
        <v>426</v>
      </c>
    </row>
    <row r="54" spans="1:10" x14ac:dyDescent="0.3">
      <c r="A54" t="s">
        <v>68</v>
      </c>
      <c r="B54" s="1" t="s">
        <v>282</v>
      </c>
      <c r="C54" s="1" t="s">
        <v>29</v>
      </c>
      <c r="D54" s="1"/>
      <c r="E54" s="3" t="s">
        <v>283</v>
      </c>
      <c r="F54" s="2" t="str">
        <f t="shared" si="0"/>
        <v>8</v>
      </c>
      <c r="G54" s="3" t="s">
        <v>369</v>
      </c>
      <c r="H54" s="2" t="s">
        <v>12</v>
      </c>
      <c r="I54" s="2" t="s">
        <v>12</v>
      </c>
      <c r="J54" s="2" t="s">
        <v>426</v>
      </c>
    </row>
    <row r="55" spans="1:10" x14ac:dyDescent="0.3">
      <c r="A55" t="s">
        <v>178</v>
      </c>
      <c r="B55" s="1" t="s">
        <v>179</v>
      </c>
      <c r="C55" s="1" t="s">
        <v>29</v>
      </c>
      <c r="D55" s="1"/>
      <c r="E55" s="3" t="s">
        <v>180</v>
      </c>
      <c r="F55" s="2" t="str">
        <f t="shared" si="0"/>
        <v>5</v>
      </c>
      <c r="G55" s="3" t="s">
        <v>369</v>
      </c>
      <c r="H55" s="2" t="s">
        <v>12</v>
      </c>
      <c r="I55" s="2" t="s">
        <v>12</v>
      </c>
      <c r="J55" s="2" t="s">
        <v>426</v>
      </c>
    </row>
    <row r="56" spans="1:10" x14ac:dyDescent="0.3">
      <c r="A56" t="s">
        <v>178</v>
      </c>
      <c r="B56" s="1" t="s">
        <v>247</v>
      </c>
      <c r="C56" s="1" t="s">
        <v>4</v>
      </c>
      <c r="D56" s="1"/>
      <c r="E56" s="3" t="s">
        <v>248</v>
      </c>
      <c r="F56" s="2" t="str">
        <f t="shared" si="0"/>
        <v>4</v>
      </c>
      <c r="G56" s="3" t="s">
        <v>369</v>
      </c>
      <c r="H56" s="2" t="s">
        <v>12</v>
      </c>
      <c r="I56" s="2" t="s">
        <v>12</v>
      </c>
      <c r="J56" s="2" t="s">
        <v>426</v>
      </c>
    </row>
    <row r="57" spans="1:10" x14ac:dyDescent="0.3">
      <c r="A57" t="s">
        <v>87</v>
      </c>
      <c r="B57" s="1" t="s">
        <v>88</v>
      </c>
      <c r="C57" s="1" t="s">
        <v>29</v>
      </c>
      <c r="D57" s="1"/>
      <c r="E57" s="3" t="s">
        <v>89</v>
      </c>
      <c r="F57" s="2" t="str">
        <f t="shared" si="0"/>
        <v>1</v>
      </c>
      <c r="G57" s="3" t="s">
        <v>369</v>
      </c>
      <c r="H57" s="2" t="s">
        <v>12</v>
      </c>
      <c r="I57" s="2" t="s">
        <v>12</v>
      </c>
      <c r="J57" s="2" t="s">
        <v>426</v>
      </c>
    </row>
    <row r="58" spans="1:10" x14ac:dyDescent="0.3">
      <c r="A58" t="s">
        <v>101</v>
      </c>
      <c r="B58" s="1" t="s">
        <v>102</v>
      </c>
      <c r="C58" s="1" t="s">
        <v>29</v>
      </c>
      <c r="D58" s="1"/>
      <c r="E58" s="3" t="s">
        <v>103</v>
      </c>
      <c r="F58" s="2" t="str">
        <f t="shared" si="0"/>
        <v>1</v>
      </c>
      <c r="G58" s="3" t="s">
        <v>369</v>
      </c>
      <c r="H58" s="2" t="s">
        <v>12</v>
      </c>
      <c r="I58" s="2" t="s">
        <v>12</v>
      </c>
      <c r="J58" s="2" t="s">
        <v>426</v>
      </c>
    </row>
    <row r="59" spans="1:10" x14ac:dyDescent="0.3">
      <c r="A59" t="s">
        <v>19</v>
      </c>
      <c r="B59" s="1" t="s">
        <v>157</v>
      </c>
      <c r="C59" s="1" t="s">
        <v>16</v>
      </c>
      <c r="D59" s="1"/>
      <c r="E59" s="3" t="s">
        <v>158</v>
      </c>
      <c r="F59" s="2" t="str">
        <f t="shared" si="0"/>
        <v>0</v>
      </c>
      <c r="G59" s="3" t="s">
        <v>369</v>
      </c>
      <c r="H59" s="2" t="s">
        <v>12</v>
      </c>
      <c r="I59" s="2" t="s">
        <v>12</v>
      </c>
      <c r="J59" s="2" t="s">
        <v>426</v>
      </c>
    </row>
    <row r="60" spans="1:10" x14ac:dyDescent="0.3">
      <c r="A60" t="s">
        <v>92</v>
      </c>
      <c r="B60" s="1" t="s">
        <v>93</v>
      </c>
      <c r="C60" s="1" t="s">
        <v>4</v>
      </c>
      <c r="D60" s="1"/>
      <c r="E60" s="3" t="s">
        <v>94</v>
      </c>
      <c r="F60" s="2" t="str">
        <f t="shared" si="0"/>
        <v>8</v>
      </c>
      <c r="G60" s="3" t="s">
        <v>369</v>
      </c>
      <c r="H60" s="2" t="s">
        <v>12</v>
      </c>
      <c r="I60" s="2" t="s">
        <v>12</v>
      </c>
      <c r="J60" s="2" t="s">
        <v>426</v>
      </c>
    </row>
    <row r="61" spans="1:10" x14ac:dyDescent="0.3">
      <c r="A61" t="s">
        <v>19</v>
      </c>
      <c r="B61" s="1" t="s">
        <v>273</v>
      </c>
      <c r="C61" s="1" t="s">
        <v>16</v>
      </c>
      <c r="D61" s="1"/>
      <c r="E61" s="3" t="s">
        <v>274</v>
      </c>
      <c r="F61" s="2" t="str">
        <f t="shared" si="0"/>
        <v>7</v>
      </c>
      <c r="G61" s="3" t="s">
        <v>369</v>
      </c>
      <c r="H61" s="2" t="s">
        <v>12</v>
      </c>
      <c r="I61" s="2" t="s">
        <v>12</v>
      </c>
      <c r="J61" s="2" t="s">
        <v>426</v>
      </c>
    </row>
    <row r="62" spans="1:10" x14ac:dyDescent="0.3">
      <c r="A62" t="s">
        <v>150</v>
      </c>
      <c r="B62" s="1" t="s">
        <v>151</v>
      </c>
      <c r="C62" s="1" t="s">
        <v>4</v>
      </c>
      <c r="D62" s="1"/>
      <c r="E62" s="3" t="s">
        <v>152</v>
      </c>
      <c r="F62" s="2" t="str">
        <f t="shared" si="0"/>
        <v>0</v>
      </c>
      <c r="G62" s="3" t="s">
        <v>369</v>
      </c>
      <c r="H62" s="2" t="s">
        <v>12</v>
      </c>
      <c r="I62" s="2" t="s">
        <v>12</v>
      </c>
      <c r="J62" s="2" t="s">
        <v>426</v>
      </c>
    </row>
    <row r="63" spans="1:10" x14ac:dyDescent="0.3">
      <c r="A63" t="s">
        <v>187</v>
      </c>
      <c r="B63" s="1" t="s">
        <v>188</v>
      </c>
      <c r="C63" s="1" t="s">
        <v>4</v>
      </c>
      <c r="D63" s="1"/>
      <c r="E63" s="3" t="s">
        <v>189</v>
      </c>
      <c r="F63" s="2" t="str">
        <f t="shared" si="0"/>
        <v>4</v>
      </c>
      <c r="G63" s="3" t="s">
        <v>369</v>
      </c>
      <c r="H63" s="2" t="s">
        <v>12</v>
      </c>
      <c r="I63" s="2" t="s">
        <v>12</v>
      </c>
      <c r="J63" s="2" t="s">
        <v>426</v>
      </c>
    </row>
    <row r="64" spans="1:10" x14ac:dyDescent="0.3">
      <c r="A64" t="s">
        <v>203</v>
      </c>
      <c r="B64" s="1" t="s">
        <v>208</v>
      </c>
      <c r="C64" s="1" t="s">
        <v>4</v>
      </c>
      <c r="D64" s="1"/>
      <c r="E64" s="3" t="s">
        <v>209</v>
      </c>
      <c r="F64" s="2" t="str">
        <f t="shared" si="0"/>
        <v>6</v>
      </c>
      <c r="G64" s="3" t="s">
        <v>369</v>
      </c>
      <c r="H64" s="2" t="s">
        <v>12</v>
      </c>
      <c r="I64" s="2" t="s">
        <v>12</v>
      </c>
      <c r="J64" s="2" t="s">
        <v>426</v>
      </c>
    </row>
    <row r="65" spans="1:10" x14ac:dyDescent="0.3">
      <c r="A65" t="s">
        <v>187</v>
      </c>
      <c r="B65" s="1" t="s">
        <v>254</v>
      </c>
      <c r="C65" s="1" t="s">
        <v>255</v>
      </c>
      <c r="D65" s="1"/>
      <c r="E65" s="3" t="s">
        <v>256</v>
      </c>
      <c r="F65" s="2" t="str">
        <f t="shared" si="0"/>
        <v>7</v>
      </c>
      <c r="G65" s="3" t="s">
        <v>369</v>
      </c>
      <c r="H65" s="2" t="s">
        <v>12</v>
      </c>
      <c r="I65" s="2" t="s">
        <v>12</v>
      </c>
      <c r="J65" s="2" t="s">
        <v>426</v>
      </c>
    </row>
    <row r="66" spans="1:10" x14ac:dyDescent="0.3">
      <c r="A66" t="s">
        <v>31</v>
      </c>
      <c r="B66" s="1" t="s">
        <v>32</v>
      </c>
      <c r="C66" s="1" t="s">
        <v>4</v>
      </c>
      <c r="D66" s="1"/>
      <c r="E66" s="3" t="s">
        <v>33</v>
      </c>
      <c r="F66" s="2" t="str">
        <f t="shared" si="0"/>
        <v>8</v>
      </c>
      <c r="G66" s="3" t="s">
        <v>369</v>
      </c>
      <c r="H66" s="2" t="s">
        <v>12</v>
      </c>
      <c r="I66" s="2" t="s">
        <v>12</v>
      </c>
      <c r="J66" s="2" t="s">
        <v>426</v>
      </c>
    </row>
    <row r="67" spans="1:10" x14ac:dyDescent="0.3">
      <c r="A67" t="s">
        <v>31</v>
      </c>
      <c r="B67" s="1" t="s">
        <v>32</v>
      </c>
      <c r="C67" s="1" t="s">
        <v>4</v>
      </c>
      <c r="D67" s="1"/>
      <c r="E67" s="3" t="s">
        <v>34</v>
      </c>
      <c r="F67" s="2" t="str">
        <f t="shared" ref="F67:F130" si="1">RIGHT(SUBSTITUTE(SUBSTITUTE(TRIM(E67)," ",""),"-",""),1)</f>
        <v>5</v>
      </c>
      <c r="G67" s="3" t="s">
        <v>369</v>
      </c>
      <c r="H67" s="2" t="s">
        <v>12</v>
      </c>
      <c r="I67" s="2" t="s">
        <v>12</v>
      </c>
      <c r="J67" s="2" t="s">
        <v>426</v>
      </c>
    </row>
    <row r="68" spans="1:10" x14ac:dyDescent="0.3">
      <c r="A68" t="s">
        <v>175</v>
      </c>
      <c r="B68" s="1" t="s">
        <v>176</v>
      </c>
      <c r="C68" s="1" t="s">
        <v>4</v>
      </c>
      <c r="D68" s="1"/>
      <c r="E68" s="3" t="s">
        <v>177</v>
      </c>
      <c r="F68" s="2" t="str">
        <f t="shared" si="1"/>
        <v>6</v>
      </c>
      <c r="G68" s="3" t="s">
        <v>369</v>
      </c>
      <c r="H68" s="2" t="s">
        <v>12</v>
      </c>
      <c r="I68" s="2" t="s">
        <v>12</v>
      </c>
      <c r="J68" s="2" t="s">
        <v>426</v>
      </c>
    </row>
    <row r="69" spans="1:10" x14ac:dyDescent="0.3">
      <c r="A69" t="s">
        <v>43</v>
      </c>
      <c r="B69" s="1" t="s">
        <v>129</v>
      </c>
      <c r="C69" s="1" t="s">
        <v>4</v>
      </c>
      <c r="D69" s="1"/>
      <c r="E69" s="3" t="s">
        <v>130</v>
      </c>
      <c r="F69" s="2" t="str">
        <f t="shared" si="1"/>
        <v>6</v>
      </c>
      <c r="G69" s="3" t="s">
        <v>369</v>
      </c>
      <c r="H69" s="2" t="s">
        <v>12</v>
      </c>
      <c r="I69" s="2" t="s">
        <v>12</v>
      </c>
      <c r="J69" s="2" t="s">
        <v>426</v>
      </c>
    </row>
    <row r="70" spans="1:10" x14ac:dyDescent="0.3">
      <c r="A70" t="s">
        <v>92</v>
      </c>
      <c r="B70" s="1" t="s">
        <v>192</v>
      </c>
      <c r="C70" s="1" t="s">
        <v>29</v>
      </c>
      <c r="D70" s="1"/>
      <c r="E70" s="3" t="s">
        <v>193</v>
      </c>
      <c r="F70" s="2" t="str">
        <f t="shared" si="1"/>
        <v>2</v>
      </c>
      <c r="G70" s="3" t="s">
        <v>369</v>
      </c>
      <c r="H70" s="2" t="s">
        <v>12</v>
      </c>
      <c r="I70" s="2" t="s">
        <v>12</v>
      </c>
      <c r="J70" s="2" t="s">
        <v>426</v>
      </c>
    </row>
    <row r="71" spans="1:10" x14ac:dyDescent="0.3">
      <c r="A71" t="s">
        <v>203</v>
      </c>
      <c r="B71" s="1" t="s">
        <v>204</v>
      </c>
      <c r="C71" s="1" t="s">
        <v>4</v>
      </c>
      <c r="D71" s="1"/>
      <c r="E71" s="3" t="s">
        <v>205</v>
      </c>
      <c r="F71" s="2" t="str">
        <f t="shared" si="1"/>
        <v>8</v>
      </c>
      <c r="G71" s="3" t="s">
        <v>369</v>
      </c>
      <c r="H71" s="2" t="s">
        <v>12</v>
      </c>
      <c r="I71" s="2" t="s">
        <v>12</v>
      </c>
      <c r="J71" s="2" t="s">
        <v>426</v>
      </c>
    </row>
    <row r="72" spans="1:10" x14ac:dyDescent="0.3">
      <c r="A72" t="s">
        <v>48</v>
      </c>
      <c r="B72" s="1" t="s">
        <v>49</v>
      </c>
      <c r="C72" s="1" t="s">
        <v>4</v>
      </c>
      <c r="D72" s="1"/>
      <c r="E72" s="3" t="s">
        <v>50</v>
      </c>
      <c r="F72" s="2" t="str">
        <f t="shared" si="1"/>
        <v>0</v>
      </c>
      <c r="G72" s="3" t="s">
        <v>369</v>
      </c>
      <c r="H72" s="2" t="s">
        <v>12</v>
      </c>
      <c r="I72" s="2" t="s">
        <v>12</v>
      </c>
      <c r="J72" s="2" t="s">
        <v>426</v>
      </c>
    </row>
    <row r="73" spans="1:10" x14ac:dyDescent="0.3">
      <c r="A73" t="s">
        <v>48</v>
      </c>
      <c r="B73" s="1" t="s">
        <v>139</v>
      </c>
      <c r="C73" s="1" t="s">
        <v>29</v>
      </c>
      <c r="D73" s="1"/>
      <c r="E73" s="3" t="s">
        <v>140</v>
      </c>
      <c r="F73" s="2" t="str">
        <f t="shared" si="1"/>
        <v>9</v>
      </c>
      <c r="G73" s="3" t="s">
        <v>369</v>
      </c>
      <c r="H73" s="2" t="s">
        <v>12</v>
      </c>
      <c r="I73" s="2" t="s">
        <v>12</v>
      </c>
      <c r="J73" s="2" t="s">
        <v>426</v>
      </c>
    </row>
    <row r="74" spans="1:10" x14ac:dyDescent="0.3">
      <c r="A74" t="s">
        <v>13</v>
      </c>
      <c r="B74" s="1" t="s">
        <v>114</v>
      </c>
      <c r="C74" s="1" t="s">
        <v>4</v>
      </c>
      <c r="D74" s="1"/>
      <c r="E74" s="3" t="s">
        <v>115</v>
      </c>
      <c r="F74" s="2" t="str">
        <f t="shared" si="1"/>
        <v>3</v>
      </c>
      <c r="G74" s="3" t="s">
        <v>369</v>
      </c>
      <c r="H74" s="2" t="s">
        <v>12</v>
      </c>
      <c r="I74" s="2" t="s">
        <v>12</v>
      </c>
      <c r="J74" s="2" t="s">
        <v>426</v>
      </c>
    </row>
    <row r="75" spans="1:10" x14ac:dyDescent="0.3">
      <c r="A75" t="s">
        <v>236</v>
      </c>
      <c r="B75" s="1" t="s">
        <v>237</v>
      </c>
      <c r="C75" s="1" t="s">
        <v>4</v>
      </c>
      <c r="D75" s="1"/>
      <c r="E75" s="3" t="s">
        <v>238</v>
      </c>
      <c r="F75" s="2" t="str">
        <f t="shared" si="1"/>
        <v>6</v>
      </c>
      <c r="G75" s="3" t="s">
        <v>369</v>
      </c>
      <c r="H75" s="2" t="s">
        <v>12</v>
      </c>
      <c r="I75" s="2" t="s">
        <v>12</v>
      </c>
      <c r="J75" s="2" t="s">
        <v>426</v>
      </c>
    </row>
    <row r="76" spans="1:10" x14ac:dyDescent="0.3">
      <c r="A76" t="s">
        <v>92</v>
      </c>
      <c r="B76" s="1" t="s">
        <v>234</v>
      </c>
      <c r="C76" s="1" t="s">
        <v>4</v>
      </c>
      <c r="D76" s="1"/>
      <c r="E76" s="3" t="s">
        <v>235</v>
      </c>
      <c r="F76" s="2" t="str">
        <f t="shared" si="1"/>
        <v>7</v>
      </c>
      <c r="G76" s="3" t="s">
        <v>369</v>
      </c>
      <c r="H76" s="2" t="s">
        <v>12</v>
      </c>
      <c r="I76" s="2" t="s">
        <v>12</v>
      </c>
      <c r="J76" s="2" t="s">
        <v>426</v>
      </c>
    </row>
    <row r="77" spans="1:10" x14ac:dyDescent="0.3">
      <c r="A77" t="s">
        <v>13</v>
      </c>
      <c r="B77" s="1" t="s">
        <v>85</v>
      </c>
      <c r="C77" s="1" t="s">
        <v>4</v>
      </c>
      <c r="D77" s="1"/>
      <c r="E77" s="3" t="s">
        <v>86</v>
      </c>
      <c r="F77" s="2" t="str">
        <f t="shared" si="1"/>
        <v>9</v>
      </c>
      <c r="G77" s="3" t="s">
        <v>369</v>
      </c>
      <c r="H77" s="2" t="s">
        <v>12</v>
      </c>
      <c r="I77" s="2" t="s">
        <v>12</v>
      </c>
      <c r="J77" s="2" t="s">
        <v>426</v>
      </c>
    </row>
    <row r="78" spans="1:10" x14ac:dyDescent="0.3">
      <c r="A78" t="s">
        <v>13</v>
      </c>
      <c r="B78" s="1" t="s">
        <v>173</v>
      </c>
      <c r="C78" s="1" t="s">
        <v>4</v>
      </c>
      <c r="D78" s="1"/>
      <c r="E78" s="3" t="s">
        <v>174</v>
      </c>
      <c r="F78" s="2" t="str">
        <f t="shared" si="1"/>
        <v>5</v>
      </c>
      <c r="G78" s="3" t="s">
        <v>369</v>
      </c>
      <c r="H78" s="2" t="s">
        <v>12</v>
      </c>
      <c r="I78" s="2" t="s">
        <v>12</v>
      </c>
      <c r="J78" s="2" t="s">
        <v>426</v>
      </c>
    </row>
    <row r="79" spans="1:10" x14ac:dyDescent="0.3">
      <c r="A79" t="s">
        <v>31</v>
      </c>
      <c r="B79" s="1" t="s">
        <v>96</v>
      </c>
      <c r="C79" s="1" t="s">
        <v>4</v>
      </c>
      <c r="D79" s="1"/>
      <c r="E79" s="3" t="s">
        <v>97</v>
      </c>
      <c r="F79" s="2" t="str">
        <f t="shared" si="1"/>
        <v>7</v>
      </c>
      <c r="G79" s="3" t="s">
        <v>369</v>
      </c>
      <c r="H79" s="2" t="s">
        <v>12</v>
      </c>
      <c r="I79" s="2" t="s">
        <v>12</v>
      </c>
      <c r="J79" s="2" t="s">
        <v>426</v>
      </c>
    </row>
    <row r="80" spans="1:10" x14ac:dyDescent="0.3">
      <c r="A80" t="s">
        <v>13</v>
      </c>
      <c r="B80" s="1" t="s">
        <v>17</v>
      </c>
      <c r="C80" s="1" t="s">
        <v>4</v>
      </c>
      <c r="D80" s="1"/>
      <c r="E80" s="3" t="s">
        <v>18</v>
      </c>
      <c r="F80" s="2" t="str">
        <f t="shared" si="1"/>
        <v>0</v>
      </c>
      <c r="G80" s="3" t="s">
        <v>369</v>
      </c>
      <c r="H80" s="2" t="s">
        <v>12</v>
      </c>
      <c r="I80" s="2" t="s">
        <v>12</v>
      </c>
      <c r="J80" s="2" t="s">
        <v>426</v>
      </c>
    </row>
    <row r="81" spans="1:10" x14ac:dyDescent="0.3">
      <c r="A81" t="s">
        <v>48</v>
      </c>
      <c r="B81" s="1" t="s">
        <v>110</v>
      </c>
      <c r="C81" s="1" t="s">
        <v>29</v>
      </c>
      <c r="D81" s="1"/>
      <c r="E81" s="3" t="s">
        <v>111</v>
      </c>
      <c r="F81" s="2" t="str">
        <f t="shared" si="1"/>
        <v>2</v>
      </c>
      <c r="G81" s="3" t="s">
        <v>369</v>
      </c>
      <c r="H81" s="2" t="s">
        <v>12</v>
      </c>
      <c r="I81" s="2" t="s">
        <v>12</v>
      </c>
      <c r="J81" s="2" t="s">
        <v>426</v>
      </c>
    </row>
    <row r="82" spans="1:10" x14ac:dyDescent="0.3">
      <c r="A82" t="s">
        <v>13</v>
      </c>
      <c r="B82" s="1" t="s">
        <v>66</v>
      </c>
      <c r="C82" s="1" t="s">
        <v>16</v>
      </c>
      <c r="D82" s="1"/>
      <c r="E82" s="3" t="s">
        <v>67</v>
      </c>
      <c r="F82" s="2" t="str">
        <f t="shared" si="1"/>
        <v>4</v>
      </c>
      <c r="G82" s="3" t="s">
        <v>369</v>
      </c>
      <c r="H82" s="2" t="s">
        <v>12</v>
      </c>
      <c r="I82" s="2" t="s">
        <v>12</v>
      </c>
      <c r="J82" s="2" t="s">
        <v>426</v>
      </c>
    </row>
    <row r="83" spans="1:10" x14ac:dyDescent="0.3">
      <c r="A83" t="s">
        <v>78</v>
      </c>
      <c r="B83" s="1" t="s">
        <v>108</v>
      </c>
      <c r="C83" s="1" t="s">
        <v>4</v>
      </c>
      <c r="D83" s="1"/>
      <c r="E83" s="3" t="s">
        <v>109</v>
      </c>
      <c r="F83" s="2" t="str">
        <f t="shared" si="1"/>
        <v>0</v>
      </c>
      <c r="G83" s="3" t="s">
        <v>369</v>
      </c>
      <c r="H83" s="2" t="s">
        <v>12</v>
      </c>
      <c r="I83" s="2" t="s">
        <v>12</v>
      </c>
      <c r="J83" s="2" t="s">
        <v>426</v>
      </c>
    </row>
    <row r="84" spans="1:10" x14ac:dyDescent="0.3">
      <c r="A84" t="s">
        <v>31</v>
      </c>
      <c r="B84" s="1" t="s">
        <v>278</v>
      </c>
      <c r="C84" s="1" t="s">
        <v>4</v>
      </c>
      <c r="D84" s="1"/>
      <c r="E84" s="3" t="s">
        <v>279</v>
      </c>
      <c r="F84" s="2" t="str">
        <f t="shared" si="1"/>
        <v>4</v>
      </c>
      <c r="G84" s="3" t="s">
        <v>369</v>
      </c>
      <c r="H84" s="2" t="s">
        <v>12</v>
      </c>
      <c r="I84" s="2" t="s">
        <v>12</v>
      </c>
      <c r="J84" s="2" t="s">
        <v>426</v>
      </c>
    </row>
    <row r="85" spans="1:10" x14ac:dyDescent="0.3">
      <c r="A85" t="s">
        <v>181</v>
      </c>
      <c r="B85" s="1" t="s">
        <v>182</v>
      </c>
      <c r="C85" s="1" t="s">
        <v>255</v>
      </c>
      <c r="D85" s="1"/>
      <c r="E85" s="3" t="s">
        <v>183</v>
      </c>
      <c r="F85" s="2" t="str">
        <f t="shared" si="1"/>
        <v>2</v>
      </c>
      <c r="G85" s="3" t="s">
        <v>369</v>
      </c>
      <c r="H85" s="2" t="s">
        <v>12</v>
      </c>
      <c r="I85" s="2" t="s">
        <v>12</v>
      </c>
      <c r="J85" s="2" t="s">
        <v>426</v>
      </c>
    </row>
    <row r="86" spans="1:10" x14ac:dyDescent="0.3">
      <c r="A86" t="s">
        <v>40</v>
      </c>
      <c r="B86" s="1" t="s">
        <v>46</v>
      </c>
      <c r="C86" s="1" t="s">
        <v>4</v>
      </c>
      <c r="D86" s="1"/>
      <c r="E86" s="3" t="s">
        <v>47</v>
      </c>
      <c r="F86" s="2" t="str">
        <f t="shared" si="1"/>
        <v>3</v>
      </c>
      <c r="G86" s="3" t="s">
        <v>369</v>
      </c>
      <c r="H86" s="2" t="s">
        <v>12</v>
      </c>
      <c r="I86" s="2" t="s">
        <v>12</v>
      </c>
      <c r="J86" s="2" t="s">
        <v>426</v>
      </c>
    </row>
    <row r="87" spans="1:10" x14ac:dyDescent="0.3">
      <c r="A87" t="s">
        <v>203</v>
      </c>
      <c r="B87" s="1" t="s">
        <v>232</v>
      </c>
      <c r="C87" s="1" t="s">
        <v>4</v>
      </c>
      <c r="D87" s="1"/>
      <c r="E87" s="3" t="s">
        <v>233</v>
      </c>
      <c r="F87" s="2" t="str">
        <f t="shared" si="1"/>
        <v>8</v>
      </c>
      <c r="G87" s="3" t="s">
        <v>369</v>
      </c>
      <c r="H87" s="2" t="s">
        <v>12</v>
      </c>
      <c r="I87" s="2" t="s">
        <v>12</v>
      </c>
      <c r="J87" s="2" t="s">
        <v>426</v>
      </c>
    </row>
    <row r="88" spans="1:10" x14ac:dyDescent="0.3">
      <c r="A88" t="s">
        <v>22</v>
      </c>
      <c r="B88" s="1" t="s">
        <v>76</v>
      </c>
      <c r="C88" s="1" t="s">
        <v>4</v>
      </c>
      <c r="D88" s="1"/>
      <c r="E88" s="3" t="s">
        <v>77</v>
      </c>
      <c r="F88" s="2" t="str">
        <f t="shared" si="1"/>
        <v>0</v>
      </c>
      <c r="G88" s="3" t="s">
        <v>369</v>
      </c>
      <c r="H88" s="2" t="s">
        <v>12</v>
      </c>
      <c r="I88" s="2" t="s">
        <v>12</v>
      </c>
      <c r="J88" s="2" t="s">
        <v>426</v>
      </c>
    </row>
    <row r="89" spans="1:10" x14ac:dyDescent="0.3">
      <c r="A89" t="s">
        <v>68</v>
      </c>
      <c r="B89" s="1" t="s">
        <v>74</v>
      </c>
      <c r="C89" s="1" t="s">
        <v>29</v>
      </c>
      <c r="D89" s="1"/>
      <c r="E89" s="3" t="s">
        <v>75</v>
      </c>
      <c r="F89" s="2" t="str">
        <f t="shared" si="1"/>
        <v>0</v>
      </c>
      <c r="G89" s="3" t="s">
        <v>369</v>
      </c>
      <c r="H89" s="2" t="s">
        <v>12</v>
      </c>
      <c r="I89" s="2" t="s">
        <v>12</v>
      </c>
      <c r="J89" s="2" t="s">
        <v>426</v>
      </c>
    </row>
    <row r="90" spans="1:10" x14ac:dyDescent="0.3">
      <c r="A90" t="s">
        <v>181</v>
      </c>
      <c r="B90" s="1" t="s">
        <v>264</v>
      </c>
      <c r="C90" s="1" t="s">
        <v>29</v>
      </c>
      <c r="D90" s="1"/>
      <c r="E90" s="3" t="s">
        <v>265</v>
      </c>
      <c r="F90" s="2" t="str">
        <f t="shared" si="1"/>
        <v>6</v>
      </c>
      <c r="G90" s="3" t="s">
        <v>369</v>
      </c>
      <c r="H90" s="2" t="s">
        <v>12</v>
      </c>
      <c r="I90" s="2" t="s">
        <v>12</v>
      </c>
      <c r="J90" s="2" t="s">
        <v>426</v>
      </c>
    </row>
    <row r="91" spans="1:10" x14ac:dyDescent="0.3">
      <c r="A91" t="s">
        <v>58</v>
      </c>
      <c r="B91" s="1" t="s">
        <v>98</v>
      </c>
      <c r="C91" s="1" t="s">
        <v>4</v>
      </c>
      <c r="D91" s="1"/>
      <c r="E91" s="3" t="s">
        <v>284</v>
      </c>
      <c r="F91" s="2" t="str">
        <f t="shared" si="1"/>
        <v>5</v>
      </c>
      <c r="G91" s="3" t="s">
        <v>369</v>
      </c>
      <c r="H91" s="2" t="s">
        <v>12</v>
      </c>
      <c r="I91" s="2" t="s">
        <v>12</v>
      </c>
      <c r="J91" s="2" t="s">
        <v>426</v>
      </c>
    </row>
    <row r="92" spans="1:10" x14ac:dyDescent="0.3">
      <c r="A92" t="s">
        <v>58</v>
      </c>
      <c r="B92" s="1" t="s">
        <v>148</v>
      </c>
      <c r="C92" s="1" t="s">
        <v>4</v>
      </c>
      <c r="D92" s="1"/>
      <c r="E92" s="3" t="s">
        <v>149</v>
      </c>
      <c r="F92" s="2" t="str">
        <f t="shared" si="1"/>
        <v>0</v>
      </c>
      <c r="G92" s="3" t="s">
        <v>369</v>
      </c>
      <c r="H92" s="2" t="s">
        <v>12</v>
      </c>
      <c r="I92" s="2" t="s">
        <v>12</v>
      </c>
      <c r="J92" s="2" t="s">
        <v>426</v>
      </c>
    </row>
    <row r="93" spans="1:10" x14ac:dyDescent="0.3">
      <c r="A93" t="s">
        <v>119</v>
      </c>
      <c r="B93" s="1" t="s">
        <v>257</v>
      </c>
      <c r="C93" s="1" t="s">
        <v>4</v>
      </c>
      <c r="D93" s="1"/>
      <c r="E93" s="3" t="s">
        <v>258</v>
      </c>
      <c r="F93" s="2" t="str">
        <f t="shared" si="1"/>
        <v>4</v>
      </c>
      <c r="G93" s="3" t="s">
        <v>369</v>
      </c>
      <c r="H93" s="2" t="s">
        <v>12</v>
      </c>
      <c r="I93" s="2" t="s">
        <v>12</v>
      </c>
      <c r="J93" s="2" t="s">
        <v>426</v>
      </c>
    </row>
    <row r="94" spans="1:10" x14ac:dyDescent="0.3">
      <c r="A94" t="s">
        <v>31</v>
      </c>
      <c r="B94" s="1" t="s">
        <v>185</v>
      </c>
      <c r="C94" s="1" t="s">
        <v>29</v>
      </c>
      <c r="D94" s="1"/>
      <c r="E94" s="3" t="s">
        <v>186</v>
      </c>
      <c r="F94" s="2" t="str">
        <f t="shared" si="1"/>
        <v>5</v>
      </c>
      <c r="G94" s="3" t="s">
        <v>369</v>
      </c>
      <c r="H94" s="2" t="s">
        <v>12</v>
      </c>
      <c r="I94" s="2" t="s">
        <v>12</v>
      </c>
      <c r="J94" s="2" t="s">
        <v>426</v>
      </c>
    </row>
    <row r="95" spans="1:10" x14ac:dyDescent="0.3">
      <c r="A95" t="s">
        <v>8</v>
      </c>
      <c r="B95" s="1" t="s">
        <v>211</v>
      </c>
      <c r="C95" s="1" t="s">
        <v>29</v>
      </c>
      <c r="D95" s="1"/>
      <c r="E95" s="3" t="s">
        <v>212</v>
      </c>
      <c r="F95" s="2" t="str">
        <f t="shared" si="1"/>
        <v>4</v>
      </c>
      <c r="G95" s="3" t="s">
        <v>369</v>
      </c>
      <c r="H95" s="2" t="s">
        <v>12</v>
      </c>
      <c r="I95" s="2" t="s">
        <v>12</v>
      </c>
      <c r="J95" s="2" t="s">
        <v>426</v>
      </c>
    </row>
    <row r="96" spans="1:10" x14ac:dyDescent="0.3">
      <c r="A96" t="s">
        <v>203</v>
      </c>
      <c r="B96" s="1" t="s">
        <v>210</v>
      </c>
      <c r="C96" s="1" t="s">
        <v>4</v>
      </c>
      <c r="D96" s="1"/>
      <c r="E96" s="3" t="s">
        <v>239</v>
      </c>
      <c r="F96" s="2" t="str">
        <f t="shared" si="1"/>
        <v>5</v>
      </c>
      <c r="G96" s="3" t="s">
        <v>369</v>
      </c>
      <c r="H96" s="2" t="s">
        <v>12</v>
      </c>
      <c r="I96" s="2" t="s">
        <v>12</v>
      </c>
      <c r="J96" s="2" t="s">
        <v>426</v>
      </c>
    </row>
    <row r="97" spans="1:10" x14ac:dyDescent="0.3">
      <c r="A97" t="s">
        <v>8</v>
      </c>
      <c r="B97" s="1" t="s">
        <v>9</v>
      </c>
      <c r="C97" s="1" t="s">
        <v>4</v>
      </c>
      <c r="D97" s="1"/>
      <c r="E97" s="3" t="s">
        <v>166</v>
      </c>
      <c r="F97" s="2" t="str">
        <f t="shared" si="1"/>
        <v>3</v>
      </c>
      <c r="G97" s="3" t="s">
        <v>369</v>
      </c>
      <c r="H97" s="2" t="s">
        <v>12</v>
      </c>
      <c r="I97" s="2" t="s">
        <v>12</v>
      </c>
      <c r="J97" s="2" t="s">
        <v>426</v>
      </c>
    </row>
    <row r="98" spans="1:10" x14ac:dyDescent="0.3">
      <c r="A98" t="s">
        <v>19</v>
      </c>
      <c r="B98" s="1" t="s">
        <v>35</v>
      </c>
      <c r="C98" s="1" t="s">
        <v>16</v>
      </c>
      <c r="D98" s="1"/>
      <c r="E98" s="3" t="s">
        <v>36</v>
      </c>
      <c r="F98" s="2" t="str">
        <f t="shared" si="1"/>
        <v>5</v>
      </c>
      <c r="G98" s="3" t="s">
        <v>369</v>
      </c>
      <c r="H98" s="2" t="s">
        <v>12</v>
      </c>
      <c r="I98" s="2" t="s">
        <v>12</v>
      </c>
      <c r="J98" s="2" t="s">
        <v>426</v>
      </c>
    </row>
    <row r="99" spans="1:10" x14ac:dyDescent="0.3">
      <c r="A99" t="s">
        <v>19</v>
      </c>
      <c r="B99" s="1" t="s">
        <v>104</v>
      </c>
      <c r="C99" s="1" t="s">
        <v>16</v>
      </c>
      <c r="D99" s="1"/>
      <c r="E99" s="3" t="s">
        <v>105</v>
      </c>
      <c r="F99" s="2" t="str">
        <f t="shared" si="1"/>
        <v>5</v>
      </c>
      <c r="G99" s="3" t="s">
        <v>369</v>
      </c>
      <c r="H99" s="2" t="s">
        <v>12</v>
      </c>
      <c r="I99" s="2" t="s">
        <v>12</v>
      </c>
      <c r="J99" s="2" t="s">
        <v>426</v>
      </c>
    </row>
    <row r="100" spans="1:10" x14ac:dyDescent="0.3">
      <c r="A100" t="s">
        <v>13</v>
      </c>
      <c r="B100" s="1" t="s">
        <v>133</v>
      </c>
      <c r="C100" s="1" t="s">
        <v>29</v>
      </c>
      <c r="D100" s="1"/>
      <c r="E100" s="3" t="s">
        <v>134</v>
      </c>
      <c r="F100" s="2" t="str">
        <f t="shared" si="1"/>
        <v>8</v>
      </c>
      <c r="G100" s="3" t="s">
        <v>369</v>
      </c>
      <c r="H100" s="2" t="s">
        <v>12</v>
      </c>
      <c r="I100" s="2" t="s">
        <v>12</v>
      </c>
      <c r="J100" s="2" t="s">
        <v>426</v>
      </c>
    </row>
    <row r="101" spans="1:10" x14ac:dyDescent="0.3">
      <c r="A101" t="s">
        <v>71</v>
      </c>
      <c r="B101" s="1" t="s">
        <v>206</v>
      </c>
      <c r="C101" s="1" t="s">
        <v>4</v>
      </c>
      <c r="D101" s="1"/>
      <c r="E101" s="3" t="s">
        <v>207</v>
      </c>
      <c r="F101" s="2" t="str">
        <f t="shared" si="1"/>
        <v>7</v>
      </c>
      <c r="G101" s="3" t="s">
        <v>369</v>
      </c>
      <c r="H101" s="2" t="s">
        <v>12</v>
      </c>
      <c r="I101" s="2" t="s">
        <v>12</v>
      </c>
      <c r="J101" s="2" t="s">
        <v>426</v>
      </c>
    </row>
    <row r="102" spans="1:10" x14ac:dyDescent="0.3">
      <c r="A102" t="s">
        <v>63</v>
      </c>
      <c r="B102" s="1" t="s">
        <v>194</v>
      </c>
      <c r="C102" s="1" t="s">
        <v>4</v>
      </c>
      <c r="D102" s="1"/>
      <c r="E102" s="3" t="s">
        <v>195</v>
      </c>
      <c r="F102" s="2" t="str">
        <f t="shared" si="1"/>
        <v>6</v>
      </c>
      <c r="G102" s="3" t="s">
        <v>369</v>
      </c>
      <c r="H102" s="2" t="s">
        <v>12</v>
      </c>
      <c r="I102" s="2" t="s">
        <v>12</v>
      </c>
      <c r="J102" s="2" t="s">
        <v>426</v>
      </c>
    </row>
    <row r="103" spans="1:10" x14ac:dyDescent="0.3">
      <c r="A103" t="s">
        <v>145</v>
      </c>
      <c r="B103" s="1" t="s">
        <v>146</v>
      </c>
      <c r="C103" s="1" t="s">
        <v>4</v>
      </c>
      <c r="D103" s="1"/>
      <c r="E103" s="3" t="s">
        <v>147</v>
      </c>
      <c r="F103" s="2" t="str">
        <f t="shared" si="1"/>
        <v>0</v>
      </c>
      <c r="G103" s="3" t="s">
        <v>369</v>
      </c>
      <c r="H103" s="2" t="s">
        <v>12</v>
      </c>
      <c r="I103" s="2" t="s">
        <v>12</v>
      </c>
      <c r="J103" s="2" t="s">
        <v>426</v>
      </c>
    </row>
    <row r="104" spans="1:10" x14ac:dyDescent="0.3">
      <c r="A104" t="s">
        <v>19</v>
      </c>
      <c r="B104" s="1" t="s">
        <v>38</v>
      </c>
      <c r="C104" s="1" t="s">
        <v>4</v>
      </c>
      <c r="D104" s="1"/>
      <c r="E104" s="3" t="s">
        <v>39</v>
      </c>
      <c r="F104" s="2" t="str">
        <f t="shared" si="1"/>
        <v>7</v>
      </c>
      <c r="G104" s="3" t="s">
        <v>369</v>
      </c>
      <c r="H104" s="2" t="s">
        <v>12</v>
      </c>
      <c r="I104" s="2" t="s">
        <v>12</v>
      </c>
      <c r="J104" s="2" t="s">
        <v>426</v>
      </c>
    </row>
    <row r="105" spans="1:10" x14ac:dyDescent="0.3">
      <c r="A105" t="s">
        <v>250</v>
      </c>
      <c r="B105" s="1" t="s">
        <v>249</v>
      </c>
      <c r="C105" s="1" t="s">
        <v>29</v>
      </c>
      <c r="D105" s="1"/>
      <c r="E105" s="3" t="s">
        <v>251</v>
      </c>
      <c r="F105" s="2" t="str">
        <f t="shared" si="1"/>
        <v>2</v>
      </c>
      <c r="G105" s="3" t="s">
        <v>369</v>
      </c>
      <c r="H105" s="2" t="s">
        <v>12</v>
      </c>
      <c r="I105" s="2" t="s">
        <v>12</v>
      </c>
      <c r="J105" s="2" t="s">
        <v>426</v>
      </c>
    </row>
    <row r="106" spans="1:10" x14ac:dyDescent="0.3">
      <c r="A106" t="s">
        <v>275</v>
      </c>
      <c r="B106" s="1" t="s">
        <v>276</v>
      </c>
      <c r="C106" s="1" t="s">
        <v>4</v>
      </c>
      <c r="D106" s="1"/>
      <c r="E106" s="3" t="s">
        <v>277</v>
      </c>
      <c r="F106" s="2" t="str">
        <f t="shared" si="1"/>
        <v>7</v>
      </c>
      <c r="G106" s="3" t="s">
        <v>369</v>
      </c>
      <c r="H106" s="2" t="s">
        <v>12</v>
      </c>
      <c r="I106" s="2" t="s">
        <v>12</v>
      </c>
      <c r="J106" s="2" t="s">
        <v>426</v>
      </c>
    </row>
    <row r="107" spans="1:10" x14ac:dyDescent="0.3">
      <c r="A107" t="s">
        <v>268</v>
      </c>
      <c r="B107" s="1" t="s">
        <v>269</v>
      </c>
      <c r="C107" s="1" t="s">
        <v>4</v>
      </c>
      <c r="D107" s="1"/>
      <c r="E107" s="3" t="s">
        <v>270</v>
      </c>
      <c r="F107" s="2" t="str">
        <f t="shared" si="1"/>
        <v>7</v>
      </c>
      <c r="G107" s="3" t="s">
        <v>369</v>
      </c>
      <c r="H107" s="2" t="s">
        <v>12</v>
      </c>
      <c r="I107" s="2" t="s">
        <v>12</v>
      </c>
      <c r="J107" s="2" t="s">
        <v>426</v>
      </c>
    </row>
    <row r="108" spans="1:10" x14ac:dyDescent="0.3">
      <c r="A108" t="s">
        <v>92</v>
      </c>
      <c r="B108" s="1" t="s">
        <v>164</v>
      </c>
      <c r="C108" s="1" t="s">
        <v>4</v>
      </c>
      <c r="D108" s="1"/>
      <c r="E108" s="3" t="s">
        <v>165</v>
      </c>
      <c r="F108" s="2" t="str">
        <f t="shared" si="1"/>
        <v>0</v>
      </c>
      <c r="G108" s="3" t="s">
        <v>369</v>
      </c>
      <c r="H108" s="2" t="s">
        <v>12</v>
      </c>
      <c r="I108" s="2" t="s">
        <v>12</v>
      </c>
      <c r="J108" s="2" t="s">
        <v>426</v>
      </c>
    </row>
    <row r="109" spans="1:10" x14ac:dyDescent="0.3">
      <c r="A109" t="s">
        <v>40</v>
      </c>
      <c r="B109" s="1" t="s">
        <v>159</v>
      </c>
      <c r="C109" s="1" t="s">
        <v>4</v>
      </c>
      <c r="D109" s="1"/>
      <c r="E109" s="3" t="s">
        <v>160</v>
      </c>
      <c r="F109" s="2" t="str">
        <f t="shared" si="1"/>
        <v>0</v>
      </c>
      <c r="G109" s="3" t="s">
        <v>369</v>
      </c>
      <c r="H109" s="2" t="s">
        <v>12</v>
      </c>
      <c r="I109" s="2" t="s">
        <v>12</v>
      </c>
      <c r="J109" s="2" t="s">
        <v>426</v>
      </c>
    </row>
    <row r="110" spans="1:10" x14ac:dyDescent="0.3">
      <c r="A110" t="s">
        <v>40</v>
      </c>
      <c r="B110" s="1" t="s">
        <v>159</v>
      </c>
      <c r="C110" s="1" t="s">
        <v>4</v>
      </c>
      <c r="D110" s="1"/>
      <c r="E110" s="3" t="s">
        <v>161</v>
      </c>
      <c r="F110" s="2" t="str">
        <f t="shared" si="1"/>
        <v>6</v>
      </c>
      <c r="G110" s="3" t="s">
        <v>369</v>
      </c>
      <c r="H110" s="2" t="s">
        <v>12</v>
      </c>
      <c r="I110" s="2" t="s">
        <v>12</v>
      </c>
      <c r="J110" s="2" t="s">
        <v>426</v>
      </c>
    </row>
    <row r="111" spans="1:10" x14ac:dyDescent="0.3">
      <c r="A111" t="s">
        <v>5</v>
      </c>
      <c r="B111" s="1" t="s">
        <v>6</v>
      </c>
      <c r="C111" s="1" t="s">
        <v>4</v>
      </c>
      <c r="D111" s="1"/>
      <c r="E111" s="3" t="s">
        <v>7</v>
      </c>
      <c r="F111" s="2" t="str">
        <f t="shared" si="1"/>
        <v>6</v>
      </c>
      <c r="G111" s="3" t="s">
        <v>369</v>
      </c>
      <c r="H111" s="2" t="s">
        <v>12</v>
      </c>
      <c r="I111" s="2" t="s">
        <v>12</v>
      </c>
      <c r="J111" s="2" t="s">
        <v>426</v>
      </c>
    </row>
    <row r="112" spans="1:10" x14ac:dyDescent="0.3">
      <c r="A112" t="s">
        <v>58</v>
      </c>
      <c r="B112" s="1" t="s">
        <v>59</v>
      </c>
      <c r="C112" s="1" t="s">
        <v>16</v>
      </c>
      <c r="D112" s="1"/>
      <c r="E112" s="3" t="s">
        <v>60</v>
      </c>
      <c r="F112" s="2" t="str">
        <f t="shared" si="1"/>
        <v>4</v>
      </c>
      <c r="G112" s="3" t="s">
        <v>369</v>
      </c>
      <c r="H112" s="2" t="s">
        <v>12</v>
      </c>
      <c r="I112" s="2" t="s">
        <v>12</v>
      </c>
      <c r="J112" s="2" t="s">
        <v>426</v>
      </c>
    </row>
    <row r="113" spans="1:10" x14ac:dyDescent="0.3">
      <c r="A113" t="s">
        <v>58</v>
      </c>
      <c r="B113" s="1" t="s">
        <v>62</v>
      </c>
      <c r="C113" s="1" t="s">
        <v>16</v>
      </c>
      <c r="D113" s="1"/>
      <c r="E113" s="3" t="s">
        <v>61</v>
      </c>
      <c r="F113" s="2" t="str">
        <f t="shared" si="1"/>
        <v>0</v>
      </c>
      <c r="G113" s="3" t="s">
        <v>369</v>
      </c>
      <c r="H113" s="2" t="s">
        <v>12</v>
      </c>
      <c r="I113" s="2" t="s">
        <v>12</v>
      </c>
      <c r="J113" s="2" t="s">
        <v>426</v>
      </c>
    </row>
    <row r="114" spans="1:10" x14ac:dyDescent="0.3">
      <c r="A114" t="s">
        <v>31</v>
      </c>
      <c r="B114" s="1" t="s">
        <v>112</v>
      </c>
      <c r="C114" s="1" t="s">
        <v>4</v>
      </c>
      <c r="D114" s="1"/>
      <c r="E114" s="3" t="s">
        <v>113</v>
      </c>
      <c r="F114" s="2" t="str">
        <f t="shared" si="1"/>
        <v>4</v>
      </c>
      <c r="G114" s="3" t="s">
        <v>369</v>
      </c>
      <c r="H114" s="2" t="s">
        <v>12</v>
      </c>
      <c r="I114" s="2" t="s">
        <v>12</v>
      </c>
      <c r="J114" s="2" t="s">
        <v>426</v>
      </c>
    </row>
    <row r="115" spans="1:10" x14ac:dyDescent="0.3">
      <c r="A115" t="s">
        <v>40</v>
      </c>
      <c r="B115" s="1" t="s">
        <v>41</v>
      </c>
      <c r="C115" s="1" t="s">
        <v>4</v>
      </c>
      <c r="D115" s="1"/>
      <c r="E115" s="3" t="s">
        <v>42</v>
      </c>
      <c r="F115" s="2" t="str">
        <f t="shared" si="1"/>
        <v>4</v>
      </c>
      <c r="G115" s="3" t="s">
        <v>369</v>
      </c>
      <c r="H115" s="2" t="s">
        <v>12</v>
      </c>
      <c r="I115" s="2" t="s">
        <v>12</v>
      </c>
      <c r="J115" s="2" t="s">
        <v>426</v>
      </c>
    </row>
    <row r="116" spans="1:10" x14ac:dyDescent="0.3">
      <c r="A116" t="s">
        <v>31</v>
      </c>
      <c r="B116" s="1" t="s">
        <v>116</v>
      </c>
      <c r="C116" s="1" t="s">
        <v>4</v>
      </c>
      <c r="D116" s="1"/>
      <c r="E116" s="3" t="s">
        <v>117</v>
      </c>
      <c r="F116" s="2" t="str">
        <f t="shared" si="1"/>
        <v>7</v>
      </c>
      <c r="G116" s="3" t="s">
        <v>369</v>
      </c>
      <c r="H116" s="2" t="s">
        <v>12</v>
      </c>
      <c r="I116" s="2" t="s">
        <v>12</v>
      </c>
      <c r="J116" s="2" t="s">
        <v>426</v>
      </c>
    </row>
    <row r="117" spans="1:10" x14ac:dyDescent="0.3">
      <c r="A117" t="s">
        <v>31</v>
      </c>
      <c r="B117" s="1" t="s">
        <v>116</v>
      </c>
      <c r="C117" s="1" t="s">
        <v>4</v>
      </c>
      <c r="D117" s="1"/>
      <c r="E117" s="3" t="s">
        <v>118</v>
      </c>
      <c r="F117" s="2" t="str">
        <f t="shared" si="1"/>
        <v>7</v>
      </c>
      <c r="G117" s="3" t="s">
        <v>369</v>
      </c>
      <c r="H117" s="2" t="s">
        <v>12</v>
      </c>
      <c r="I117" s="2" t="s">
        <v>12</v>
      </c>
      <c r="J117" s="2" t="s">
        <v>426</v>
      </c>
    </row>
    <row r="118" spans="1:10" x14ac:dyDescent="0.3">
      <c r="A118" t="s">
        <v>87</v>
      </c>
      <c r="B118" s="1" t="s">
        <v>126</v>
      </c>
      <c r="C118" s="1" t="s">
        <v>4</v>
      </c>
      <c r="D118" s="1"/>
      <c r="E118" s="3" t="s">
        <v>408</v>
      </c>
      <c r="F118" s="2" t="str">
        <f t="shared" si="1"/>
        <v>3</v>
      </c>
      <c r="G118" s="3" t="s">
        <v>369</v>
      </c>
      <c r="H118" s="2" t="s">
        <v>12</v>
      </c>
      <c r="I118" s="2" t="s">
        <v>12</v>
      </c>
      <c r="J118" s="2" t="s">
        <v>426</v>
      </c>
    </row>
    <row r="119" spans="1:10" x14ac:dyDescent="0.3">
      <c r="A119" t="s">
        <v>63</v>
      </c>
      <c r="B119" s="1" t="s">
        <v>143</v>
      </c>
      <c r="C119" s="1" t="s">
        <v>29</v>
      </c>
      <c r="D119" s="1"/>
      <c r="E119" s="3" t="s">
        <v>144</v>
      </c>
      <c r="F119" s="2" t="str">
        <f t="shared" si="1"/>
        <v>2</v>
      </c>
      <c r="G119" s="3" t="s">
        <v>369</v>
      </c>
      <c r="H119" s="2" t="s">
        <v>12</v>
      </c>
      <c r="I119" s="2" t="s">
        <v>12</v>
      </c>
      <c r="J119" s="2" t="s">
        <v>426</v>
      </c>
    </row>
    <row r="120" spans="1:10" x14ac:dyDescent="0.3">
      <c r="A120" t="s">
        <v>78</v>
      </c>
      <c r="B120" s="1" t="s">
        <v>153</v>
      </c>
      <c r="C120" s="1" t="s">
        <v>4</v>
      </c>
      <c r="D120" s="1"/>
      <c r="E120" s="3" t="s">
        <v>154</v>
      </c>
      <c r="F120" s="2" t="str">
        <f t="shared" si="1"/>
        <v>5</v>
      </c>
      <c r="G120" s="3" t="s">
        <v>369</v>
      </c>
      <c r="H120" s="2" t="s">
        <v>12</v>
      </c>
      <c r="I120" s="2" t="s">
        <v>12</v>
      </c>
      <c r="J120" s="2" t="s">
        <v>426</v>
      </c>
    </row>
    <row r="121" spans="1:10" x14ac:dyDescent="0.3">
      <c r="A121" t="s">
        <v>150</v>
      </c>
      <c r="B121" s="1" t="s">
        <v>262</v>
      </c>
      <c r="C121" s="1" t="s">
        <v>29</v>
      </c>
      <c r="D121" s="1"/>
      <c r="E121" s="3" t="s">
        <v>263</v>
      </c>
      <c r="F121" s="2" t="str">
        <f t="shared" si="1"/>
        <v>4</v>
      </c>
      <c r="G121" s="3" t="s">
        <v>369</v>
      </c>
      <c r="H121" s="2" t="s">
        <v>12</v>
      </c>
      <c r="I121" s="2" t="s">
        <v>12</v>
      </c>
      <c r="J121" s="2" t="s">
        <v>426</v>
      </c>
    </row>
    <row r="122" spans="1:10" x14ac:dyDescent="0.3">
      <c r="A122" t="s">
        <v>203</v>
      </c>
      <c r="B122" s="1" t="s">
        <v>287</v>
      </c>
      <c r="C122" s="1" t="s">
        <v>4</v>
      </c>
      <c r="D122" s="1"/>
      <c r="E122" s="3" t="s">
        <v>288</v>
      </c>
      <c r="F122" s="2" t="str">
        <f t="shared" si="1"/>
        <v>8</v>
      </c>
      <c r="G122" s="3" t="s">
        <v>369</v>
      </c>
      <c r="H122" s="2" t="s">
        <v>12</v>
      </c>
      <c r="I122" s="2" t="s">
        <v>12</v>
      </c>
      <c r="J122" s="2" t="s">
        <v>427</v>
      </c>
    </row>
    <row r="123" spans="1:10" x14ac:dyDescent="0.3">
      <c r="A123" s="1" t="s">
        <v>78</v>
      </c>
      <c r="B123" s="1" t="s">
        <v>298</v>
      </c>
      <c r="C123" s="1" t="s">
        <v>26</v>
      </c>
      <c r="D123" s="1" t="s">
        <v>214</v>
      </c>
      <c r="E123" s="3" t="s">
        <v>289</v>
      </c>
      <c r="F123" s="2" t="str">
        <f t="shared" si="1"/>
        <v>6</v>
      </c>
      <c r="G123" s="3" t="s">
        <v>369</v>
      </c>
      <c r="H123" s="2" t="s">
        <v>12</v>
      </c>
      <c r="I123" s="2" t="s">
        <v>12</v>
      </c>
      <c r="J123" s="2" t="s">
        <v>427</v>
      </c>
    </row>
    <row r="124" spans="1:10" x14ac:dyDescent="0.3">
      <c r="A124" s="1" t="s">
        <v>78</v>
      </c>
      <c r="B124" s="1" t="s">
        <v>297</v>
      </c>
      <c r="C124" s="1" t="s">
        <v>26</v>
      </c>
      <c r="D124" s="1" t="s">
        <v>214</v>
      </c>
      <c r="E124" s="3" t="s">
        <v>290</v>
      </c>
      <c r="F124" s="2" t="str">
        <f t="shared" si="1"/>
        <v>4</v>
      </c>
      <c r="G124" s="3" t="s">
        <v>369</v>
      </c>
      <c r="H124" s="2" t="s">
        <v>12</v>
      </c>
      <c r="I124" s="2" t="s">
        <v>12</v>
      </c>
      <c r="J124" s="2" t="s">
        <v>427</v>
      </c>
    </row>
    <row r="125" spans="1:10" x14ac:dyDescent="0.3">
      <c r="A125" s="1" t="s">
        <v>187</v>
      </c>
      <c r="B125" s="1" t="s">
        <v>299</v>
      </c>
      <c r="C125" s="1" t="s">
        <v>16</v>
      </c>
      <c r="D125" s="1"/>
      <c r="E125" s="3" t="s">
        <v>291</v>
      </c>
      <c r="F125" s="2" t="str">
        <f t="shared" si="1"/>
        <v>6</v>
      </c>
      <c r="G125" s="3" t="s">
        <v>369</v>
      </c>
      <c r="H125" s="2" t="s">
        <v>12</v>
      </c>
      <c r="I125" s="2" t="s">
        <v>12</v>
      </c>
      <c r="J125" s="2" t="s">
        <v>427</v>
      </c>
    </row>
    <row r="126" spans="1:10" x14ac:dyDescent="0.3">
      <c r="A126" s="1" t="s">
        <v>292</v>
      </c>
      <c r="B126" s="1" t="s">
        <v>293</v>
      </c>
      <c r="C126" s="1" t="s">
        <v>16</v>
      </c>
      <c r="D126" s="1"/>
      <c r="E126" s="3" t="s">
        <v>294</v>
      </c>
      <c r="F126" s="2" t="str">
        <f t="shared" si="1"/>
        <v>6</v>
      </c>
      <c r="G126" s="3" t="s">
        <v>369</v>
      </c>
      <c r="H126" s="2" t="s">
        <v>12</v>
      </c>
      <c r="I126" s="2" t="s">
        <v>12</v>
      </c>
      <c r="J126" s="2" t="s">
        <v>427</v>
      </c>
    </row>
    <row r="127" spans="1:10" x14ac:dyDescent="0.3">
      <c r="A127" s="1" t="s">
        <v>78</v>
      </c>
      <c r="B127" s="1" t="s">
        <v>295</v>
      </c>
      <c r="C127" s="1" t="s">
        <v>26</v>
      </c>
      <c r="D127" s="1" t="s">
        <v>81</v>
      </c>
      <c r="E127" s="3" t="s">
        <v>296</v>
      </c>
      <c r="F127" s="2" t="str">
        <f t="shared" si="1"/>
        <v>5</v>
      </c>
      <c r="G127" s="3" t="s">
        <v>369</v>
      </c>
      <c r="H127" s="2" t="s">
        <v>12</v>
      </c>
      <c r="I127" s="2" t="s">
        <v>12</v>
      </c>
      <c r="J127" s="2" t="s">
        <v>427</v>
      </c>
    </row>
    <row r="128" spans="1:10" x14ac:dyDescent="0.3">
      <c r="A128" s="1" t="s">
        <v>78</v>
      </c>
      <c r="B128" s="1" t="s">
        <v>300</v>
      </c>
      <c r="C128" s="1" t="s">
        <v>26</v>
      </c>
      <c r="D128" s="1" t="s">
        <v>81</v>
      </c>
      <c r="E128" s="3" t="s">
        <v>312</v>
      </c>
      <c r="F128" s="2" t="str">
        <f t="shared" si="1"/>
        <v>1</v>
      </c>
      <c r="G128" s="3" t="s">
        <v>369</v>
      </c>
      <c r="H128" s="2" t="s">
        <v>12</v>
      </c>
      <c r="I128" s="2" t="s">
        <v>12</v>
      </c>
      <c r="J128" s="2" t="s">
        <v>427</v>
      </c>
    </row>
    <row r="129" spans="1:10" x14ac:dyDescent="0.3">
      <c r="A129" s="1" t="s">
        <v>5</v>
      </c>
      <c r="B129" s="1" t="s">
        <v>301</v>
      </c>
      <c r="C129" s="1" t="s">
        <v>16</v>
      </c>
      <c r="D129" s="1"/>
      <c r="E129" s="3" t="s">
        <v>302</v>
      </c>
      <c r="F129" s="2" t="str">
        <f t="shared" si="1"/>
        <v>0</v>
      </c>
      <c r="G129" s="3" t="s">
        <v>369</v>
      </c>
      <c r="H129" s="2" t="s">
        <v>12</v>
      </c>
      <c r="I129" s="2" t="s">
        <v>12</v>
      </c>
      <c r="J129" s="2" t="s">
        <v>427</v>
      </c>
    </row>
    <row r="130" spans="1:10" x14ac:dyDescent="0.3">
      <c r="A130" s="1" t="s">
        <v>187</v>
      </c>
      <c r="B130" s="1" t="s">
        <v>303</v>
      </c>
      <c r="C130" s="1" t="s">
        <v>29</v>
      </c>
      <c r="D130" s="1"/>
      <c r="E130" s="3" t="s">
        <v>304</v>
      </c>
      <c r="F130" s="2" t="str">
        <f t="shared" si="1"/>
        <v>9</v>
      </c>
      <c r="G130" s="3" t="s">
        <v>369</v>
      </c>
      <c r="H130" s="2" t="s">
        <v>12</v>
      </c>
      <c r="I130" s="2" t="s">
        <v>12</v>
      </c>
      <c r="J130" s="2" t="s">
        <v>427</v>
      </c>
    </row>
    <row r="131" spans="1:10" x14ac:dyDescent="0.3">
      <c r="A131" s="1" t="s">
        <v>58</v>
      </c>
      <c r="B131" s="1" t="s">
        <v>305</v>
      </c>
      <c r="C131" s="1" t="s">
        <v>16</v>
      </c>
      <c r="D131" s="1"/>
      <c r="E131" s="3" t="s">
        <v>306</v>
      </c>
      <c r="F131" s="2" t="str">
        <f t="shared" ref="F131:F194" si="2">RIGHT(SUBSTITUTE(SUBSTITUTE(TRIM(E131)," ",""),"-",""),1)</f>
        <v>8</v>
      </c>
      <c r="G131" s="3" t="s">
        <v>369</v>
      </c>
      <c r="H131" s="2" t="s">
        <v>12</v>
      </c>
      <c r="I131" s="2" t="s">
        <v>12</v>
      </c>
      <c r="J131" s="2" t="s">
        <v>427</v>
      </c>
    </row>
    <row r="132" spans="1:10" x14ac:dyDescent="0.3">
      <c r="A132" s="1" t="s">
        <v>58</v>
      </c>
      <c r="B132" s="1" t="s">
        <v>305</v>
      </c>
      <c r="C132" s="1" t="s">
        <v>16</v>
      </c>
      <c r="D132" s="1"/>
      <c r="E132" s="3" t="s">
        <v>307</v>
      </c>
      <c r="F132" s="2" t="str">
        <f t="shared" si="2"/>
        <v>3</v>
      </c>
      <c r="G132" s="3" t="s">
        <v>369</v>
      </c>
      <c r="H132" s="2" t="s">
        <v>12</v>
      </c>
      <c r="I132" s="2" t="s">
        <v>12</v>
      </c>
      <c r="J132" s="2" t="s">
        <v>427</v>
      </c>
    </row>
    <row r="133" spans="1:10" x14ac:dyDescent="0.3">
      <c r="A133" s="1" t="s">
        <v>78</v>
      </c>
      <c r="B133" s="1" t="s">
        <v>308</v>
      </c>
      <c r="C133" s="1" t="s">
        <v>26</v>
      </c>
      <c r="D133" s="1" t="s">
        <v>214</v>
      </c>
      <c r="E133" s="3" t="s">
        <v>309</v>
      </c>
      <c r="F133" s="2" t="str">
        <f t="shared" si="2"/>
        <v>7</v>
      </c>
      <c r="G133" s="3" t="s">
        <v>369</v>
      </c>
      <c r="H133" s="2" t="s">
        <v>12</v>
      </c>
      <c r="I133" s="2" t="s">
        <v>12</v>
      </c>
      <c r="J133" s="2" t="s">
        <v>427</v>
      </c>
    </row>
    <row r="134" spans="1:10" x14ac:dyDescent="0.3">
      <c r="A134" s="1" t="s">
        <v>68</v>
      </c>
      <c r="B134" s="1" t="s">
        <v>310</v>
      </c>
      <c r="C134" s="1" t="s">
        <v>16</v>
      </c>
      <c r="D134" s="1"/>
      <c r="E134" s="3" t="s">
        <v>311</v>
      </c>
      <c r="F134" s="2" t="str">
        <f t="shared" si="2"/>
        <v>6</v>
      </c>
      <c r="G134" s="3" t="s">
        <v>369</v>
      </c>
      <c r="H134" s="2" t="s">
        <v>12</v>
      </c>
      <c r="I134" s="2" t="s">
        <v>12</v>
      </c>
      <c r="J134" s="2" t="s">
        <v>427</v>
      </c>
    </row>
    <row r="135" spans="1:10" x14ac:dyDescent="0.3">
      <c r="A135" s="1" t="s">
        <v>19</v>
      </c>
      <c r="B135" s="1" t="s">
        <v>313</v>
      </c>
      <c r="C135" s="1" t="s">
        <v>4</v>
      </c>
      <c r="D135" s="1"/>
      <c r="E135" s="3" t="s">
        <v>314</v>
      </c>
      <c r="F135" s="2" t="str">
        <f t="shared" si="2"/>
        <v>1</v>
      </c>
      <c r="G135" s="3" t="s">
        <v>369</v>
      </c>
      <c r="H135" s="2" t="s">
        <v>12</v>
      </c>
      <c r="I135" s="2" t="s">
        <v>12</v>
      </c>
      <c r="J135" s="2" t="s">
        <v>427</v>
      </c>
    </row>
    <row r="136" spans="1:10" x14ac:dyDescent="0.3">
      <c r="A136" s="1" t="s">
        <v>31</v>
      </c>
      <c r="B136" s="1" t="s">
        <v>99</v>
      </c>
      <c r="C136" s="1" t="s">
        <v>16</v>
      </c>
      <c r="D136" s="1"/>
      <c r="E136" s="3" t="s">
        <v>100</v>
      </c>
      <c r="F136" s="2" t="str">
        <f t="shared" si="2"/>
        <v>3</v>
      </c>
      <c r="G136" s="3" t="s">
        <v>369</v>
      </c>
      <c r="H136" s="2" t="s">
        <v>12</v>
      </c>
      <c r="I136" s="2" t="s">
        <v>12</v>
      </c>
      <c r="J136" s="2" t="s">
        <v>427</v>
      </c>
    </row>
    <row r="137" spans="1:10" x14ac:dyDescent="0.3">
      <c r="A137" s="1" t="s">
        <v>31</v>
      </c>
      <c r="B137" s="1" t="s">
        <v>99</v>
      </c>
      <c r="C137" s="1" t="s">
        <v>16</v>
      </c>
      <c r="D137" s="1"/>
      <c r="E137" s="3" t="s">
        <v>315</v>
      </c>
      <c r="F137" s="2" t="str">
        <f t="shared" si="2"/>
        <v>6</v>
      </c>
      <c r="G137" s="3" t="s">
        <v>369</v>
      </c>
      <c r="H137" s="2" t="s">
        <v>12</v>
      </c>
      <c r="I137" s="2" t="s">
        <v>12</v>
      </c>
      <c r="J137" s="2" t="s">
        <v>427</v>
      </c>
    </row>
    <row r="138" spans="1:10" x14ac:dyDescent="0.3">
      <c r="A138" s="1" t="s">
        <v>55</v>
      </c>
      <c r="B138" s="1" t="s">
        <v>316</v>
      </c>
      <c r="C138" s="1" t="s">
        <v>4</v>
      </c>
      <c r="D138" s="1"/>
      <c r="E138" s="3" t="s">
        <v>317</v>
      </c>
      <c r="F138" s="2" t="str">
        <f t="shared" si="2"/>
        <v>7</v>
      </c>
      <c r="G138" s="3" t="s">
        <v>369</v>
      </c>
      <c r="H138" s="2" t="s">
        <v>12</v>
      </c>
      <c r="I138" s="2" t="s">
        <v>12</v>
      </c>
      <c r="J138" s="2" t="s">
        <v>427</v>
      </c>
    </row>
    <row r="139" spans="1:10" x14ac:dyDescent="0.3">
      <c r="A139" s="1" t="s">
        <v>78</v>
      </c>
      <c r="B139" s="1" t="s">
        <v>318</v>
      </c>
      <c r="C139" s="1" t="s">
        <v>26</v>
      </c>
      <c r="D139" s="1" t="s">
        <v>214</v>
      </c>
      <c r="E139" s="3" t="s">
        <v>319</v>
      </c>
      <c r="F139" s="2" t="str">
        <f t="shared" si="2"/>
        <v>9</v>
      </c>
      <c r="G139" s="3" t="s">
        <v>369</v>
      </c>
      <c r="H139" s="2" t="s">
        <v>12</v>
      </c>
      <c r="I139" s="2" t="s">
        <v>12</v>
      </c>
      <c r="J139" s="2" t="s">
        <v>427</v>
      </c>
    </row>
    <row r="140" spans="1:10" x14ac:dyDescent="0.3">
      <c r="A140" s="1" t="s">
        <v>5</v>
      </c>
      <c r="B140" s="1" t="s">
        <v>320</v>
      </c>
      <c r="C140" s="1" t="s">
        <v>4</v>
      </c>
      <c r="D140" s="1"/>
      <c r="E140" s="3" t="s">
        <v>321</v>
      </c>
      <c r="F140" s="2" t="str">
        <f t="shared" si="2"/>
        <v>1</v>
      </c>
      <c r="G140" s="3" t="s">
        <v>369</v>
      </c>
      <c r="H140" s="2" t="s">
        <v>12</v>
      </c>
      <c r="I140" s="2" t="s">
        <v>12</v>
      </c>
      <c r="J140" s="2" t="s">
        <v>427</v>
      </c>
    </row>
    <row r="141" spans="1:10" x14ac:dyDescent="0.3">
      <c r="A141" s="1" t="s">
        <v>87</v>
      </c>
      <c r="B141" s="1" t="s">
        <v>322</v>
      </c>
      <c r="C141" s="1" t="s">
        <v>4</v>
      </c>
      <c r="D141" s="1"/>
      <c r="E141" s="3" t="s">
        <v>323</v>
      </c>
      <c r="F141" s="2" t="str">
        <f t="shared" si="2"/>
        <v>5</v>
      </c>
      <c r="G141" s="3" t="s">
        <v>369</v>
      </c>
      <c r="H141" s="2" t="s">
        <v>12</v>
      </c>
      <c r="I141" s="2" t="s">
        <v>12</v>
      </c>
      <c r="J141" s="2" t="s">
        <v>427</v>
      </c>
    </row>
    <row r="142" spans="1:10" x14ac:dyDescent="0.3">
      <c r="A142" s="1" t="s">
        <v>8</v>
      </c>
      <c r="B142" s="1" t="s">
        <v>324</v>
      </c>
      <c r="C142" s="1" t="s">
        <v>4</v>
      </c>
      <c r="D142" s="1"/>
      <c r="E142" s="3" t="s">
        <v>325</v>
      </c>
      <c r="F142" s="2" t="str">
        <f t="shared" si="2"/>
        <v>0</v>
      </c>
      <c r="G142" s="3" t="s">
        <v>369</v>
      </c>
      <c r="H142" s="2" t="s">
        <v>12</v>
      </c>
      <c r="I142" s="2" t="s">
        <v>12</v>
      </c>
      <c r="J142" s="2" t="s">
        <v>427</v>
      </c>
    </row>
    <row r="143" spans="1:10" x14ac:dyDescent="0.3">
      <c r="A143" s="1" t="s">
        <v>326</v>
      </c>
      <c r="B143" s="1" t="s">
        <v>327</v>
      </c>
      <c r="C143" s="1" t="s">
        <v>16</v>
      </c>
      <c r="D143" s="1"/>
      <c r="E143" s="3" t="s">
        <v>328</v>
      </c>
      <c r="F143" s="2" t="str">
        <f t="shared" si="2"/>
        <v>3</v>
      </c>
      <c r="G143" s="3" t="s">
        <v>369</v>
      </c>
      <c r="H143" s="2" t="s">
        <v>12</v>
      </c>
      <c r="I143" s="2" t="s">
        <v>12</v>
      </c>
      <c r="J143" s="2" t="s">
        <v>427</v>
      </c>
    </row>
    <row r="144" spans="1:10" x14ac:dyDescent="0.3">
      <c r="A144" s="1" t="s">
        <v>48</v>
      </c>
      <c r="B144" s="1" t="s">
        <v>329</v>
      </c>
      <c r="C144" s="1" t="s">
        <v>4</v>
      </c>
      <c r="D144" s="1"/>
      <c r="E144" s="3" t="s">
        <v>330</v>
      </c>
      <c r="F144" s="2" t="str">
        <f t="shared" si="2"/>
        <v>1</v>
      </c>
      <c r="G144" s="3" t="s">
        <v>369</v>
      </c>
      <c r="H144" s="2" t="s">
        <v>12</v>
      </c>
      <c r="I144" s="2" t="s">
        <v>12</v>
      </c>
      <c r="J144" s="2" t="s">
        <v>427</v>
      </c>
    </row>
    <row r="145" spans="1:10" x14ac:dyDescent="0.3">
      <c r="A145" s="1" t="s">
        <v>331</v>
      </c>
      <c r="B145" s="1" t="s">
        <v>332</v>
      </c>
      <c r="C145" s="1" t="s">
        <v>4</v>
      </c>
      <c r="D145" s="1"/>
      <c r="E145" s="3" t="s">
        <v>455</v>
      </c>
      <c r="F145" s="2" t="str">
        <f t="shared" si="2"/>
        <v>8</v>
      </c>
      <c r="G145" s="3" t="s">
        <v>369</v>
      </c>
      <c r="H145" s="2" t="s">
        <v>333</v>
      </c>
      <c r="I145" s="2" t="s">
        <v>333</v>
      </c>
      <c r="J145" s="2" t="s">
        <v>427</v>
      </c>
    </row>
    <row r="146" spans="1:10" x14ac:dyDescent="0.3">
      <c r="A146" t="s">
        <v>8</v>
      </c>
      <c r="B146" s="1" t="s">
        <v>334</v>
      </c>
      <c r="C146" s="1" t="s">
        <v>4</v>
      </c>
      <c r="D146" s="1"/>
      <c r="E146" s="3" t="s">
        <v>351</v>
      </c>
      <c r="F146" s="2" t="str">
        <f t="shared" si="2"/>
        <v>3</v>
      </c>
      <c r="G146" s="3" t="s">
        <v>369</v>
      </c>
      <c r="H146" s="2" t="s">
        <v>352</v>
      </c>
      <c r="I146" s="2" t="s">
        <v>352</v>
      </c>
      <c r="J146" s="2" t="s">
        <v>356</v>
      </c>
    </row>
    <row r="147" spans="1:10" x14ac:dyDescent="0.3">
      <c r="A147" s="1" t="s">
        <v>335</v>
      </c>
      <c r="B147" s="1" t="s">
        <v>336</v>
      </c>
      <c r="C147" s="1" t="s">
        <v>4</v>
      </c>
      <c r="D147" s="1"/>
      <c r="E147" s="3" t="s">
        <v>337</v>
      </c>
      <c r="F147" s="2" t="str">
        <f t="shared" si="2"/>
        <v>0</v>
      </c>
      <c r="G147" s="3" t="s">
        <v>369</v>
      </c>
      <c r="H147" s="2" t="s">
        <v>12</v>
      </c>
      <c r="I147" s="2" t="s">
        <v>12</v>
      </c>
      <c r="J147" s="2" t="s">
        <v>356</v>
      </c>
    </row>
    <row r="148" spans="1:10" x14ac:dyDescent="0.3">
      <c r="A148" s="1" t="s">
        <v>87</v>
      </c>
      <c r="B148" s="1" t="s">
        <v>339</v>
      </c>
      <c r="C148" s="1" t="s">
        <v>29</v>
      </c>
      <c r="D148" s="1"/>
      <c r="E148" s="3" t="s">
        <v>340</v>
      </c>
      <c r="F148" s="2" t="str">
        <f t="shared" si="2"/>
        <v>6</v>
      </c>
      <c r="G148" s="3" t="s">
        <v>369</v>
      </c>
      <c r="H148" s="2" t="s">
        <v>12</v>
      </c>
      <c r="I148" s="2" t="s">
        <v>12</v>
      </c>
      <c r="J148" s="2" t="s">
        <v>356</v>
      </c>
    </row>
    <row r="149" spans="1:10" x14ac:dyDescent="0.3">
      <c r="A149" s="1" t="s">
        <v>68</v>
      </c>
      <c r="B149" s="1" t="s">
        <v>69</v>
      </c>
      <c r="C149" s="1" t="s">
        <v>16</v>
      </c>
      <c r="D149" s="1"/>
      <c r="E149" s="3" t="s">
        <v>70</v>
      </c>
      <c r="F149" s="2" t="str">
        <f t="shared" si="2"/>
        <v>4</v>
      </c>
      <c r="G149" s="3" t="s">
        <v>369</v>
      </c>
      <c r="H149" s="2" t="s">
        <v>12</v>
      </c>
      <c r="I149" s="2" t="s">
        <v>12</v>
      </c>
      <c r="J149" s="2" t="s">
        <v>356</v>
      </c>
    </row>
    <row r="150" spans="1:10" x14ac:dyDescent="0.3">
      <c r="A150" t="s">
        <v>19</v>
      </c>
      <c r="B150" s="1" t="s">
        <v>104</v>
      </c>
      <c r="C150" s="1" t="s">
        <v>16</v>
      </c>
      <c r="D150" s="1"/>
      <c r="E150" s="3" t="s">
        <v>341</v>
      </c>
      <c r="F150" s="2" t="str">
        <f t="shared" si="2"/>
        <v>1</v>
      </c>
      <c r="G150" s="3" t="s">
        <v>369</v>
      </c>
      <c r="H150" s="2" t="s">
        <v>12</v>
      </c>
      <c r="I150" s="2" t="s">
        <v>12</v>
      </c>
      <c r="J150" s="2" t="s">
        <v>356</v>
      </c>
    </row>
    <row r="151" spans="1:10" x14ac:dyDescent="0.3">
      <c r="A151" t="s">
        <v>342</v>
      </c>
      <c r="B151" s="1" t="s">
        <v>343</v>
      </c>
      <c r="C151" s="1" t="s">
        <v>29</v>
      </c>
      <c r="E151" s="3" t="s">
        <v>347</v>
      </c>
      <c r="F151" s="2" t="str">
        <f t="shared" si="2"/>
        <v>5</v>
      </c>
      <c r="G151" s="3" t="s">
        <v>369</v>
      </c>
      <c r="H151" s="2" t="s">
        <v>363</v>
      </c>
      <c r="I151" s="2" t="s">
        <v>363</v>
      </c>
      <c r="J151" s="2" t="s">
        <v>356</v>
      </c>
    </row>
    <row r="152" spans="1:10" x14ac:dyDescent="0.3">
      <c r="A152" t="s">
        <v>342</v>
      </c>
      <c r="B152" s="1" t="s">
        <v>344</v>
      </c>
      <c r="C152" s="1" t="s">
        <v>29</v>
      </c>
      <c r="E152" s="3" t="s">
        <v>348</v>
      </c>
      <c r="F152" s="2" t="str">
        <f t="shared" si="2"/>
        <v>6</v>
      </c>
      <c r="G152" s="3" t="s">
        <v>369</v>
      </c>
      <c r="H152" s="2" t="s">
        <v>363</v>
      </c>
      <c r="I152" s="2" t="s">
        <v>363</v>
      </c>
      <c r="J152" s="2" t="s">
        <v>356</v>
      </c>
    </row>
    <row r="153" spans="1:10" x14ac:dyDescent="0.3">
      <c r="A153" t="s">
        <v>342</v>
      </c>
      <c r="B153" s="1" t="s">
        <v>345</v>
      </c>
      <c r="C153" s="1" t="s">
        <v>29</v>
      </c>
      <c r="E153" s="3" t="s">
        <v>349</v>
      </c>
      <c r="F153" s="2" t="str">
        <f t="shared" si="2"/>
        <v>6</v>
      </c>
      <c r="G153" s="3" t="s">
        <v>369</v>
      </c>
      <c r="H153" s="2" t="s">
        <v>363</v>
      </c>
      <c r="I153" s="2" t="s">
        <v>363</v>
      </c>
      <c r="J153" s="2" t="s">
        <v>356</v>
      </c>
    </row>
    <row r="154" spans="1:10" x14ac:dyDescent="0.3">
      <c r="A154" t="s">
        <v>342</v>
      </c>
      <c r="B154" s="1" t="s">
        <v>346</v>
      </c>
      <c r="C154" s="1" t="s">
        <v>29</v>
      </c>
      <c r="E154" s="3" t="s">
        <v>350</v>
      </c>
      <c r="F154" s="2" t="str">
        <f t="shared" si="2"/>
        <v>2</v>
      </c>
      <c r="G154" s="3" t="s">
        <v>369</v>
      </c>
      <c r="H154" s="2" t="s">
        <v>363</v>
      </c>
      <c r="I154" s="2" t="s">
        <v>363</v>
      </c>
      <c r="J154" s="2" t="s">
        <v>356</v>
      </c>
    </row>
    <row r="155" spans="1:10" x14ac:dyDescent="0.3">
      <c r="A155" t="s">
        <v>353</v>
      </c>
      <c r="B155" s="1" t="s">
        <v>354</v>
      </c>
      <c r="C155" s="1" t="s">
        <v>4</v>
      </c>
      <c r="E155" s="3" t="s">
        <v>355</v>
      </c>
      <c r="F155" s="2" t="str">
        <f t="shared" si="2"/>
        <v>0</v>
      </c>
      <c r="G155" s="3" t="s">
        <v>369</v>
      </c>
      <c r="H155" s="2" t="s">
        <v>352</v>
      </c>
      <c r="I155" s="2" t="s">
        <v>352</v>
      </c>
      <c r="J155" s="2" t="s">
        <v>356</v>
      </c>
    </row>
    <row r="156" spans="1:10" x14ac:dyDescent="0.3">
      <c r="A156" t="s">
        <v>357</v>
      </c>
      <c r="B156" s="1" t="s">
        <v>358</v>
      </c>
      <c r="C156" s="1" t="s">
        <v>29</v>
      </c>
      <c r="E156" s="3" t="s">
        <v>359</v>
      </c>
      <c r="F156" s="2" t="str">
        <f t="shared" si="2"/>
        <v>2</v>
      </c>
      <c r="G156" s="3" t="s">
        <v>369</v>
      </c>
      <c r="H156" s="2" t="s">
        <v>363</v>
      </c>
      <c r="I156" s="2" t="s">
        <v>363</v>
      </c>
      <c r="J156" s="2" t="s">
        <v>356</v>
      </c>
    </row>
    <row r="157" spans="1:10" x14ac:dyDescent="0.3">
      <c r="A157" t="s">
        <v>360</v>
      </c>
      <c r="B157" s="1" t="s">
        <v>361</v>
      </c>
      <c r="C157" s="1" t="s">
        <v>4</v>
      </c>
      <c r="E157" s="3" t="s">
        <v>362</v>
      </c>
      <c r="F157" s="2" t="str">
        <f t="shared" si="2"/>
        <v>4</v>
      </c>
      <c r="G157" s="3" t="s">
        <v>369</v>
      </c>
      <c r="H157" s="2" t="s">
        <v>363</v>
      </c>
      <c r="I157" s="2" t="s">
        <v>363</v>
      </c>
      <c r="J157" s="2" t="s">
        <v>356</v>
      </c>
    </row>
    <row r="158" spans="1:10" x14ac:dyDescent="0.3">
      <c r="A158" t="s">
        <v>364</v>
      </c>
      <c r="B158" s="1" t="s">
        <v>365</v>
      </c>
      <c r="C158" s="1" t="s">
        <v>4</v>
      </c>
      <c r="E158" s="3" t="s">
        <v>366</v>
      </c>
      <c r="F158" s="2" t="str">
        <f t="shared" si="2"/>
        <v>8</v>
      </c>
      <c r="G158" s="3" t="s">
        <v>369</v>
      </c>
      <c r="H158" s="2" t="s">
        <v>363</v>
      </c>
      <c r="I158" s="2" t="s">
        <v>363</v>
      </c>
      <c r="J158" s="2" t="s">
        <v>356</v>
      </c>
    </row>
    <row r="159" spans="1:10" x14ac:dyDescent="0.3">
      <c r="A159" t="s">
        <v>48</v>
      </c>
      <c r="B159" s="1" t="s">
        <v>374</v>
      </c>
      <c r="C159" s="1" t="s">
        <v>4</v>
      </c>
      <c r="E159" s="3" t="s">
        <v>375</v>
      </c>
      <c r="F159" s="2" t="str">
        <f t="shared" si="2"/>
        <v>1</v>
      </c>
      <c r="G159" s="3" t="s">
        <v>369</v>
      </c>
      <c r="H159" s="2" t="s">
        <v>363</v>
      </c>
      <c r="I159" s="2" t="s">
        <v>363</v>
      </c>
      <c r="J159" s="2" t="s">
        <v>356</v>
      </c>
    </row>
    <row r="160" spans="1:10" x14ac:dyDescent="0.3">
      <c r="A160" t="s">
        <v>376</v>
      </c>
      <c r="B160" s="1" t="s">
        <v>377</v>
      </c>
      <c r="C160" s="1" t="s">
        <v>378</v>
      </c>
      <c r="E160" s="3" t="s">
        <v>379</v>
      </c>
      <c r="F160" s="2" t="str">
        <f t="shared" si="2"/>
        <v>4</v>
      </c>
      <c r="G160" s="3" t="s">
        <v>369</v>
      </c>
      <c r="H160" s="2" t="s">
        <v>363</v>
      </c>
      <c r="I160" s="2" t="s">
        <v>363</v>
      </c>
      <c r="J160" s="2" t="s">
        <v>356</v>
      </c>
    </row>
    <row r="161" spans="1:10" x14ac:dyDescent="0.3">
      <c r="A161" t="s">
        <v>380</v>
      </c>
      <c r="B161" s="1" t="s">
        <v>381</v>
      </c>
      <c r="C161" s="1" t="s">
        <v>4</v>
      </c>
      <c r="E161" s="3" t="s">
        <v>382</v>
      </c>
      <c r="F161" s="2" t="str">
        <f t="shared" si="2"/>
        <v>5</v>
      </c>
      <c r="G161" s="3" t="s">
        <v>369</v>
      </c>
      <c r="H161" s="2" t="s">
        <v>363</v>
      </c>
      <c r="I161" s="2" t="s">
        <v>363</v>
      </c>
      <c r="J161" s="2" t="s">
        <v>356</v>
      </c>
    </row>
    <row r="162" spans="1:10" x14ac:dyDescent="0.3">
      <c r="A162" t="s">
        <v>187</v>
      </c>
      <c r="B162" s="1" t="s">
        <v>383</v>
      </c>
      <c r="C162" s="1" t="s">
        <v>29</v>
      </c>
      <c r="E162" s="3" t="s">
        <v>384</v>
      </c>
      <c r="F162" s="2" t="str">
        <f t="shared" si="2"/>
        <v>2</v>
      </c>
      <c r="G162" s="3" t="s">
        <v>369</v>
      </c>
      <c r="H162" s="2" t="s">
        <v>363</v>
      </c>
      <c r="I162" s="2" t="s">
        <v>363</v>
      </c>
      <c r="J162" s="2" t="s">
        <v>356</v>
      </c>
    </row>
    <row r="163" spans="1:10" x14ac:dyDescent="0.3">
      <c r="A163" t="s">
        <v>385</v>
      </c>
      <c r="B163" s="1" t="s">
        <v>386</v>
      </c>
      <c r="C163" s="1" t="s">
        <v>4</v>
      </c>
      <c r="E163" s="3" t="s">
        <v>387</v>
      </c>
      <c r="F163" s="2" t="str">
        <f t="shared" si="2"/>
        <v>5</v>
      </c>
      <c r="G163" s="3" t="s">
        <v>369</v>
      </c>
      <c r="H163" s="2" t="s">
        <v>363</v>
      </c>
      <c r="I163" s="2" t="s">
        <v>363</v>
      </c>
      <c r="J163" s="2" t="s">
        <v>356</v>
      </c>
    </row>
    <row r="164" spans="1:10" x14ac:dyDescent="0.3">
      <c r="A164" s="1" t="s">
        <v>335</v>
      </c>
      <c r="B164" s="1" t="s">
        <v>338</v>
      </c>
      <c r="C164" s="1" t="s">
        <v>4</v>
      </c>
      <c r="D164" s="1"/>
      <c r="E164" s="3" t="s">
        <v>388</v>
      </c>
      <c r="F164" s="2" t="str">
        <f t="shared" si="2"/>
        <v>9</v>
      </c>
      <c r="G164" s="3" t="s">
        <v>369</v>
      </c>
      <c r="H164" s="2" t="s">
        <v>363</v>
      </c>
      <c r="I164" s="2" t="s">
        <v>363</v>
      </c>
      <c r="J164" s="2" t="s">
        <v>356</v>
      </c>
    </row>
    <row r="165" spans="1:10" x14ac:dyDescent="0.3">
      <c r="A165" t="s">
        <v>389</v>
      </c>
      <c r="B165" s="1" t="s">
        <v>390</v>
      </c>
      <c r="C165" s="1" t="s">
        <v>16</v>
      </c>
      <c r="E165" s="3" t="s">
        <v>391</v>
      </c>
      <c r="F165" s="2" t="str">
        <f t="shared" si="2"/>
        <v>5</v>
      </c>
      <c r="G165" s="3" t="s">
        <v>369</v>
      </c>
      <c r="H165" s="2" t="s">
        <v>363</v>
      </c>
      <c r="I165" s="2" t="s">
        <v>363</v>
      </c>
      <c r="J165" s="2" t="s">
        <v>356</v>
      </c>
    </row>
    <row r="166" spans="1:10" x14ac:dyDescent="0.3">
      <c r="A166" t="s">
        <v>360</v>
      </c>
      <c r="B166" s="1" t="s">
        <v>392</v>
      </c>
      <c r="C166" s="1" t="s">
        <v>16</v>
      </c>
      <c r="E166" s="3" t="s">
        <v>393</v>
      </c>
      <c r="F166" s="2" t="str">
        <f t="shared" si="2"/>
        <v>3</v>
      </c>
      <c r="G166" s="3" t="s">
        <v>369</v>
      </c>
      <c r="H166" s="2" t="s">
        <v>12</v>
      </c>
      <c r="I166" s="2" t="s">
        <v>12</v>
      </c>
      <c r="J166" s="2" t="s">
        <v>356</v>
      </c>
    </row>
    <row r="167" spans="1:10" x14ac:dyDescent="0.3">
      <c r="A167" t="s">
        <v>394</v>
      </c>
      <c r="B167" s="1" t="s">
        <v>395</v>
      </c>
      <c r="C167" s="1" t="s">
        <v>29</v>
      </c>
      <c r="E167" s="3" t="s">
        <v>396</v>
      </c>
      <c r="F167" s="2" t="str">
        <f t="shared" si="2"/>
        <v>8</v>
      </c>
      <c r="G167" s="3" t="s">
        <v>369</v>
      </c>
      <c r="H167" s="2" t="s">
        <v>12</v>
      </c>
      <c r="I167" s="2" t="s">
        <v>12</v>
      </c>
      <c r="J167" s="2" t="s">
        <v>356</v>
      </c>
    </row>
    <row r="168" spans="1:10" x14ac:dyDescent="0.3">
      <c r="A168" t="s">
        <v>397</v>
      </c>
      <c r="B168" s="1" t="s">
        <v>398</v>
      </c>
      <c r="C168" s="1" t="s">
        <v>4</v>
      </c>
      <c r="E168" s="3" t="s">
        <v>399</v>
      </c>
      <c r="F168" s="2" t="str">
        <f t="shared" si="2"/>
        <v>9</v>
      </c>
      <c r="G168" s="3" t="s">
        <v>369</v>
      </c>
      <c r="H168" s="2" t="s">
        <v>12</v>
      </c>
      <c r="I168" s="2" t="s">
        <v>12</v>
      </c>
      <c r="J168" s="2" t="s">
        <v>356</v>
      </c>
    </row>
    <row r="169" spans="1:10" x14ac:dyDescent="0.3">
      <c r="A169" t="s">
        <v>8</v>
      </c>
      <c r="B169" s="1" t="s">
        <v>9</v>
      </c>
      <c r="C169" s="1" t="s">
        <v>4</v>
      </c>
      <c r="E169" s="3" t="s">
        <v>400</v>
      </c>
      <c r="F169" s="2" t="str">
        <f t="shared" si="2"/>
        <v>0</v>
      </c>
      <c r="G169" s="3" t="s">
        <v>369</v>
      </c>
      <c r="H169" s="2" t="s">
        <v>12</v>
      </c>
      <c r="I169" s="2" t="s">
        <v>12</v>
      </c>
      <c r="J169" s="2" t="s">
        <v>356</v>
      </c>
    </row>
    <row r="170" spans="1:10" x14ac:dyDescent="0.3">
      <c r="A170" t="s">
        <v>401</v>
      </c>
      <c r="B170" s="1" t="s">
        <v>402</v>
      </c>
      <c r="C170" s="1" t="s">
        <v>29</v>
      </c>
      <c r="E170" s="3" t="s">
        <v>403</v>
      </c>
      <c r="F170" s="2" t="str">
        <f t="shared" si="2"/>
        <v>9</v>
      </c>
      <c r="G170" s="3" t="s">
        <v>369</v>
      </c>
      <c r="H170" s="2" t="s">
        <v>12</v>
      </c>
      <c r="I170" s="2" t="s">
        <v>12</v>
      </c>
      <c r="J170" s="2" t="s">
        <v>356</v>
      </c>
    </row>
    <row r="171" spans="1:10" x14ac:dyDescent="0.3">
      <c r="A171" t="s">
        <v>404</v>
      </c>
      <c r="B171" s="1" t="s">
        <v>405</v>
      </c>
      <c r="C171" s="1" t="s">
        <v>4</v>
      </c>
      <c r="E171" s="3" t="s">
        <v>406</v>
      </c>
      <c r="F171" s="2" t="str">
        <f t="shared" si="2"/>
        <v>8</v>
      </c>
      <c r="G171" s="3" t="s">
        <v>369</v>
      </c>
      <c r="H171" s="2" t="s">
        <v>12</v>
      </c>
      <c r="I171" s="2" t="s">
        <v>12</v>
      </c>
      <c r="J171" s="2" t="s">
        <v>356</v>
      </c>
    </row>
    <row r="172" spans="1:10" x14ac:dyDescent="0.3">
      <c r="A172" t="s">
        <v>404</v>
      </c>
      <c r="B172" s="1" t="s">
        <v>405</v>
      </c>
      <c r="C172" s="1" t="s">
        <v>4</v>
      </c>
      <c r="E172" s="3" t="s">
        <v>407</v>
      </c>
      <c r="F172" s="2" t="str">
        <f t="shared" si="2"/>
        <v>1</v>
      </c>
      <c r="G172" s="3" t="s">
        <v>369</v>
      </c>
      <c r="H172" s="2" t="s">
        <v>12</v>
      </c>
      <c r="I172" s="2" t="s">
        <v>12</v>
      </c>
      <c r="J172" s="2" t="s">
        <v>356</v>
      </c>
    </row>
    <row r="173" spans="1:10" x14ac:dyDescent="0.3">
      <c r="A173" t="s">
        <v>409</v>
      </c>
      <c r="B173" s="1" t="s">
        <v>410</v>
      </c>
      <c r="C173" s="1" t="s">
        <v>411</v>
      </c>
      <c r="E173" s="3" t="s">
        <v>412</v>
      </c>
      <c r="F173" s="2" t="str">
        <f t="shared" si="2"/>
        <v>8</v>
      </c>
      <c r="G173" s="3" t="s">
        <v>369</v>
      </c>
      <c r="H173" s="2" t="s">
        <v>12</v>
      </c>
      <c r="I173" s="2" t="s">
        <v>12</v>
      </c>
      <c r="J173" s="2" t="s">
        <v>356</v>
      </c>
    </row>
    <row r="174" spans="1:10" x14ac:dyDescent="0.3">
      <c r="A174" t="s">
        <v>413</v>
      </c>
      <c r="B174" s="1" t="s">
        <v>414</v>
      </c>
      <c r="C174" s="1" t="s">
        <v>16</v>
      </c>
      <c r="E174" s="3" t="s">
        <v>415</v>
      </c>
      <c r="F174" s="2" t="str">
        <f t="shared" si="2"/>
        <v>8</v>
      </c>
      <c r="G174" s="3" t="s">
        <v>369</v>
      </c>
      <c r="H174" s="2" t="s">
        <v>416</v>
      </c>
      <c r="I174" s="2" t="s">
        <v>416</v>
      </c>
      <c r="J174" s="2" t="s">
        <v>425</v>
      </c>
    </row>
    <row r="175" spans="1:10" x14ac:dyDescent="0.3">
      <c r="A175" t="s">
        <v>417</v>
      </c>
      <c r="B175" s="1" t="s">
        <v>418</v>
      </c>
      <c r="C175" s="1" t="s">
        <v>4</v>
      </c>
      <c r="E175" s="3" t="s">
        <v>419</v>
      </c>
      <c r="F175" s="2" t="str">
        <f t="shared" si="2"/>
        <v>0</v>
      </c>
      <c r="G175" s="3" t="s">
        <v>369</v>
      </c>
      <c r="H175" s="2" t="s">
        <v>416</v>
      </c>
      <c r="I175" s="2" t="s">
        <v>416</v>
      </c>
      <c r="J175" s="2" t="s">
        <v>425</v>
      </c>
    </row>
    <row r="176" spans="1:10" x14ac:dyDescent="0.3">
      <c r="A176" t="s">
        <v>420</v>
      </c>
      <c r="B176" s="1" t="s">
        <v>421</v>
      </c>
      <c r="C176" s="1" t="s">
        <v>422</v>
      </c>
      <c r="D176" t="s">
        <v>423</v>
      </c>
      <c r="E176" s="3" t="s">
        <v>424</v>
      </c>
      <c r="F176" s="2" t="str">
        <f t="shared" si="2"/>
        <v>3</v>
      </c>
      <c r="G176" s="3" t="s">
        <v>369</v>
      </c>
      <c r="H176" s="2" t="s">
        <v>416</v>
      </c>
      <c r="I176" s="2" t="s">
        <v>416</v>
      </c>
      <c r="J176" s="2" t="s">
        <v>425</v>
      </c>
    </row>
    <row r="177" spans="1:10" x14ac:dyDescent="0.3">
      <c r="A177" t="s">
        <v>428</v>
      </c>
      <c r="B177" s="1" t="s">
        <v>429</v>
      </c>
      <c r="C177" s="1" t="s">
        <v>29</v>
      </c>
      <c r="E177" s="3" t="s">
        <v>430</v>
      </c>
      <c r="F177" s="2" t="str">
        <f t="shared" si="2"/>
        <v>5</v>
      </c>
      <c r="G177" s="3" t="s">
        <v>369</v>
      </c>
      <c r="H177" s="2" t="s">
        <v>12</v>
      </c>
      <c r="I177" s="2" t="s">
        <v>12</v>
      </c>
      <c r="J177" s="2" t="s">
        <v>425</v>
      </c>
    </row>
    <row r="178" spans="1:10" x14ac:dyDescent="0.3">
      <c r="A178" t="s">
        <v>431</v>
      </c>
      <c r="B178" s="1" t="s">
        <v>432</v>
      </c>
      <c r="C178" s="1" t="s">
        <v>433</v>
      </c>
      <c r="E178" s="3" t="s">
        <v>434</v>
      </c>
      <c r="F178" s="2" t="str">
        <f t="shared" si="2"/>
        <v>9</v>
      </c>
      <c r="G178" s="3" t="s">
        <v>369</v>
      </c>
      <c r="H178" s="2" t="s">
        <v>12</v>
      </c>
      <c r="I178" s="2" t="s">
        <v>12</v>
      </c>
      <c r="J178" s="2" t="s">
        <v>425</v>
      </c>
    </row>
    <row r="179" spans="1:10" x14ac:dyDescent="0.3">
      <c r="A179" t="s">
        <v>435</v>
      </c>
      <c r="B179" s="1" t="s">
        <v>436</v>
      </c>
      <c r="C179" s="1" t="s">
        <v>437</v>
      </c>
      <c r="D179" t="s">
        <v>438</v>
      </c>
      <c r="E179" s="3" t="s">
        <v>439</v>
      </c>
      <c r="F179" s="2" t="str">
        <f t="shared" si="2"/>
        <v>5</v>
      </c>
      <c r="G179" s="3" t="s">
        <v>369</v>
      </c>
      <c r="H179" s="2" t="s">
        <v>12</v>
      </c>
      <c r="I179" s="2" t="s">
        <v>12</v>
      </c>
      <c r="J179" s="2" t="s">
        <v>425</v>
      </c>
    </row>
    <row r="180" spans="1:10" x14ac:dyDescent="0.3">
      <c r="A180" t="s">
        <v>431</v>
      </c>
      <c r="B180" s="1" t="s">
        <v>440</v>
      </c>
      <c r="C180" s="1" t="s">
        <v>16</v>
      </c>
      <c r="E180" s="3" t="s">
        <v>441</v>
      </c>
      <c r="F180" s="2" t="str">
        <f t="shared" si="2"/>
        <v>8</v>
      </c>
      <c r="G180" s="3" t="s">
        <v>369</v>
      </c>
      <c r="H180" s="2" t="s">
        <v>12</v>
      </c>
      <c r="I180" s="2" t="s">
        <v>12</v>
      </c>
      <c r="J180" s="2" t="s">
        <v>425</v>
      </c>
    </row>
    <row r="181" spans="1:10" x14ac:dyDescent="0.3">
      <c r="A181" t="s">
        <v>442</v>
      </c>
      <c r="B181" s="1" t="s">
        <v>443</v>
      </c>
      <c r="C181" s="1" t="s">
        <v>4</v>
      </c>
      <c r="E181" s="3" t="s">
        <v>444</v>
      </c>
      <c r="F181" s="2" t="str">
        <f t="shared" si="2"/>
        <v>8</v>
      </c>
      <c r="G181" s="3" t="s">
        <v>369</v>
      </c>
      <c r="H181" s="2" t="s">
        <v>12</v>
      </c>
      <c r="I181" s="2" t="s">
        <v>12</v>
      </c>
      <c r="J181" s="2" t="s">
        <v>425</v>
      </c>
    </row>
    <row r="182" spans="1:10" x14ac:dyDescent="0.3">
      <c r="A182" t="s">
        <v>445</v>
      </c>
      <c r="B182" s="1" t="s">
        <v>446</v>
      </c>
      <c r="C182" s="1" t="s">
        <v>4</v>
      </c>
      <c r="E182" s="3" t="s">
        <v>447</v>
      </c>
      <c r="F182" s="2" t="str">
        <f t="shared" si="2"/>
        <v>4</v>
      </c>
      <c r="G182" s="3" t="s">
        <v>369</v>
      </c>
      <c r="H182" s="2" t="s">
        <v>12</v>
      </c>
      <c r="I182" s="2" t="s">
        <v>12</v>
      </c>
      <c r="J182" s="2" t="s">
        <v>425</v>
      </c>
    </row>
    <row r="183" spans="1:10" x14ac:dyDescent="0.3">
      <c r="A183" t="s">
        <v>448</v>
      </c>
      <c r="B183" s="1" t="s">
        <v>449</v>
      </c>
      <c r="C183" s="1" t="s">
        <v>437</v>
      </c>
      <c r="D183" t="s">
        <v>450</v>
      </c>
      <c r="E183" s="3" t="s">
        <v>451</v>
      </c>
      <c r="F183" s="2" t="str">
        <f t="shared" si="2"/>
        <v>1</v>
      </c>
      <c r="G183" s="3" t="s">
        <v>369</v>
      </c>
      <c r="H183" s="2" t="s">
        <v>12</v>
      </c>
      <c r="I183" s="2" t="s">
        <v>12</v>
      </c>
      <c r="J183" s="2" t="s">
        <v>425</v>
      </c>
    </row>
    <row r="184" spans="1:10" x14ac:dyDescent="0.3">
      <c r="A184" t="s">
        <v>452</v>
      </c>
      <c r="B184" s="1" t="s">
        <v>453</v>
      </c>
      <c r="C184" s="1" t="s">
        <v>4</v>
      </c>
      <c r="E184" s="3" t="s">
        <v>454</v>
      </c>
      <c r="F184" s="2" t="str">
        <f t="shared" si="2"/>
        <v>2</v>
      </c>
      <c r="G184" s="3" t="s">
        <v>369</v>
      </c>
      <c r="H184" s="2" t="s">
        <v>12</v>
      </c>
      <c r="I184" s="2" t="s">
        <v>12</v>
      </c>
      <c r="J184" s="2" t="s">
        <v>425</v>
      </c>
    </row>
    <row r="185" spans="1:10" x14ac:dyDescent="0.3">
      <c r="A185" t="s">
        <v>457</v>
      </c>
      <c r="B185" s="1" t="s">
        <v>458</v>
      </c>
      <c r="C185" s="1" t="s">
        <v>16</v>
      </c>
      <c r="E185" s="3" t="s">
        <v>459</v>
      </c>
      <c r="F185" s="2" t="str">
        <f t="shared" si="2"/>
        <v>4</v>
      </c>
      <c r="G185" s="3" t="s">
        <v>369</v>
      </c>
      <c r="H185" s="2" t="s">
        <v>12</v>
      </c>
      <c r="I185" s="2" t="s">
        <v>12</v>
      </c>
      <c r="J185" s="2" t="s">
        <v>425</v>
      </c>
    </row>
    <row r="186" spans="1:10" x14ac:dyDescent="0.3">
      <c r="A186" t="s">
        <v>187</v>
      </c>
      <c r="B186" s="1" t="s">
        <v>460</v>
      </c>
      <c r="C186" s="1" t="s">
        <v>16</v>
      </c>
      <c r="E186" s="3" t="s">
        <v>461</v>
      </c>
      <c r="F186" s="2" t="str">
        <f t="shared" si="2"/>
        <v>8</v>
      </c>
      <c r="G186" s="3" t="s">
        <v>369</v>
      </c>
      <c r="H186" s="2" t="s">
        <v>12</v>
      </c>
      <c r="I186" s="2" t="s">
        <v>12</v>
      </c>
      <c r="J186" s="2" t="s">
        <v>425</v>
      </c>
    </row>
    <row r="187" spans="1:10" x14ac:dyDescent="0.3">
      <c r="A187" t="s">
        <v>187</v>
      </c>
      <c r="B187" s="1" t="s">
        <v>460</v>
      </c>
      <c r="C187" s="1" t="s">
        <v>16</v>
      </c>
      <c r="E187" s="3" t="s">
        <v>462</v>
      </c>
      <c r="F187" s="2" t="str">
        <f t="shared" si="2"/>
        <v>7</v>
      </c>
      <c r="G187" s="3" t="s">
        <v>369</v>
      </c>
      <c r="H187" s="2" t="s">
        <v>12</v>
      </c>
      <c r="I187" s="2" t="s">
        <v>12</v>
      </c>
      <c r="J187" s="2" t="s">
        <v>425</v>
      </c>
    </row>
    <row r="188" spans="1:10" x14ac:dyDescent="0.3">
      <c r="A188" t="s">
        <v>463</v>
      </c>
      <c r="B188" s="1" t="s">
        <v>464</v>
      </c>
      <c r="C188" s="1" t="s">
        <v>16</v>
      </c>
      <c r="E188" s="3" t="s">
        <v>465</v>
      </c>
      <c r="F188" s="2" t="str">
        <f t="shared" si="2"/>
        <v>1</v>
      </c>
      <c r="G188" s="3" t="s">
        <v>369</v>
      </c>
      <c r="H188" s="2" t="s">
        <v>12</v>
      </c>
      <c r="I188" s="2" t="s">
        <v>12</v>
      </c>
      <c r="J188" s="2" t="s">
        <v>425</v>
      </c>
    </row>
    <row r="189" spans="1:10" x14ac:dyDescent="0.3">
      <c r="A189" t="s">
        <v>466</v>
      </c>
      <c r="B189" s="1" t="s">
        <v>467</v>
      </c>
      <c r="C189" s="1" t="s">
        <v>468</v>
      </c>
      <c r="D189" t="s">
        <v>470</v>
      </c>
      <c r="E189" s="3" t="s">
        <v>469</v>
      </c>
      <c r="F189" s="2" t="str">
        <f t="shared" si="2"/>
        <v>9</v>
      </c>
      <c r="G189" s="3" t="s">
        <v>369</v>
      </c>
      <c r="H189" s="2" t="s">
        <v>12</v>
      </c>
      <c r="I189" s="2" t="s">
        <v>12</v>
      </c>
      <c r="J189" s="2" t="s">
        <v>425</v>
      </c>
    </row>
    <row r="190" spans="1:10" s="6" customFormat="1" x14ac:dyDescent="0.3">
      <c r="A190" s="6" t="s">
        <v>445</v>
      </c>
      <c r="B190" s="7" t="s">
        <v>471</v>
      </c>
      <c r="C190" s="7" t="s">
        <v>4</v>
      </c>
      <c r="E190" s="8" t="s">
        <v>472</v>
      </c>
      <c r="F190" s="2" t="str">
        <f t="shared" si="2"/>
        <v>4</v>
      </c>
      <c r="G190" s="8" t="s">
        <v>369</v>
      </c>
      <c r="H190" s="9" t="s">
        <v>12</v>
      </c>
      <c r="I190" s="9" t="s">
        <v>12</v>
      </c>
      <c r="J190" s="9" t="s">
        <v>473</v>
      </c>
    </row>
    <row r="191" spans="1:10" s="6" customFormat="1" x14ac:dyDescent="0.3">
      <c r="A191" s="6" t="s">
        <v>474</v>
      </c>
      <c r="B191" s="7" t="s">
        <v>475</v>
      </c>
      <c r="C191" s="7" t="s">
        <v>4</v>
      </c>
      <c r="E191" s="8" t="s">
        <v>476</v>
      </c>
      <c r="F191" s="2" t="str">
        <f t="shared" si="2"/>
        <v>9</v>
      </c>
      <c r="G191" s="8" t="s">
        <v>369</v>
      </c>
      <c r="H191" s="9" t="s">
        <v>12</v>
      </c>
      <c r="I191" s="9" t="s">
        <v>12</v>
      </c>
      <c r="J191" s="9" t="s">
        <v>473</v>
      </c>
    </row>
    <row r="192" spans="1:10" s="6" customFormat="1" x14ac:dyDescent="0.3">
      <c r="A192" s="6" t="s">
        <v>445</v>
      </c>
      <c r="B192" s="7" t="s">
        <v>446</v>
      </c>
      <c r="C192" s="7" t="s">
        <v>4</v>
      </c>
      <c r="E192" s="8" t="s">
        <v>477</v>
      </c>
      <c r="F192" s="2" t="str">
        <f t="shared" si="2"/>
        <v>4</v>
      </c>
      <c r="G192" s="8" t="s">
        <v>369</v>
      </c>
      <c r="H192" s="9" t="s">
        <v>12</v>
      </c>
      <c r="I192" s="9" t="s">
        <v>12</v>
      </c>
      <c r="J192" s="9" t="s">
        <v>473</v>
      </c>
    </row>
    <row r="193" spans="1:10" s="6" customFormat="1" x14ac:dyDescent="0.3">
      <c r="A193" s="6" t="s">
        <v>479</v>
      </c>
      <c r="B193" s="6" t="s">
        <v>480</v>
      </c>
      <c r="C193" s="7" t="s">
        <v>16</v>
      </c>
      <c r="E193" s="8" t="s">
        <v>481</v>
      </c>
      <c r="F193" s="2" t="str">
        <f t="shared" si="2"/>
        <v>6</v>
      </c>
      <c r="G193" s="8" t="s">
        <v>369</v>
      </c>
      <c r="H193" s="9" t="s">
        <v>478</v>
      </c>
      <c r="I193" s="9" t="s">
        <v>478</v>
      </c>
      <c r="J193" s="9" t="s">
        <v>508</v>
      </c>
    </row>
    <row r="194" spans="1:10" x14ac:dyDescent="0.3">
      <c r="A194" s="6" t="s">
        <v>482</v>
      </c>
      <c r="B194" s="6" t="s">
        <v>483</v>
      </c>
      <c r="C194" s="7" t="s">
        <v>16</v>
      </c>
      <c r="D194" s="6"/>
      <c r="E194" s="8" t="s">
        <v>484</v>
      </c>
      <c r="F194" s="2" t="str">
        <f t="shared" si="2"/>
        <v>4</v>
      </c>
      <c r="G194" s="8" t="s">
        <v>369</v>
      </c>
      <c r="H194" s="9" t="s">
        <v>478</v>
      </c>
      <c r="I194" s="9" t="s">
        <v>478</v>
      </c>
      <c r="J194" s="9" t="s">
        <v>508</v>
      </c>
    </row>
    <row r="195" spans="1:10" x14ac:dyDescent="0.3">
      <c r="A195" s="6" t="s">
        <v>482</v>
      </c>
      <c r="B195" s="6" t="s">
        <v>483</v>
      </c>
      <c r="C195" s="7" t="s">
        <v>16</v>
      </c>
      <c r="E195" s="3" t="s">
        <v>485</v>
      </c>
      <c r="F195" s="2" t="str">
        <f t="shared" ref="F195:F258" si="3">RIGHT(SUBSTITUTE(SUBSTITUTE(TRIM(E195)," ",""),"-",""),1)</f>
        <v>3</v>
      </c>
      <c r="G195" s="8" t="s">
        <v>369</v>
      </c>
      <c r="H195" s="2" t="s">
        <v>478</v>
      </c>
      <c r="I195" s="2" t="s">
        <v>478</v>
      </c>
      <c r="J195" s="9" t="s">
        <v>508</v>
      </c>
    </row>
    <row r="196" spans="1:10" x14ac:dyDescent="0.3">
      <c r="A196" s="6" t="s">
        <v>486</v>
      </c>
      <c r="B196" t="s">
        <v>487</v>
      </c>
      <c r="C196" s="7" t="s">
        <v>4</v>
      </c>
      <c r="E196" s="3" t="s">
        <v>488</v>
      </c>
      <c r="F196" s="2" t="str">
        <f t="shared" si="3"/>
        <v>3</v>
      </c>
      <c r="G196" s="8" t="s">
        <v>369</v>
      </c>
      <c r="H196" s="2" t="s">
        <v>478</v>
      </c>
      <c r="I196" s="2" t="s">
        <v>478</v>
      </c>
      <c r="J196" s="9" t="s">
        <v>508</v>
      </c>
    </row>
    <row r="197" spans="1:10" x14ac:dyDescent="0.3">
      <c r="A197" s="6" t="s">
        <v>48</v>
      </c>
      <c r="B197" t="s">
        <v>489</v>
      </c>
      <c r="C197" s="7" t="s">
        <v>4</v>
      </c>
      <c r="E197" s="3" t="s">
        <v>490</v>
      </c>
      <c r="F197" s="2" t="str">
        <f t="shared" si="3"/>
        <v>3</v>
      </c>
      <c r="G197" s="8" t="s">
        <v>369</v>
      </c>
      <c r="H197" s="2" t="s">
        <v>478</v>
      </c>
      <c r="I197" s="2" t="s">
        <v>478</v>
      </c>
      <c r="J197" s="9" t="s">
        <v>508</v>
      </c>
    </row>
    <row r="198" spans="1:10" x14ac:dyDescent="0.3">
      <c r="A198" s="6" t="s">
        <v>491</v>
      </c>
      <c r="B198" t="s">
        <v>492</v>
      </c>
      <c r="C198" s="7" t="s">
        <v>29</v>
      </c>
      <c r="E198" s="3" t="s">
        <v>493</v>
      </c>
      <c r="F198" s="2" t="str">
        <f t="shared" si="3"/>
        <v>8</v>
      </c>
      <c r="G198" s="8" t="s">
        <v>369</v>
      </c>
      <c r="H198" s="2" t="s">
        <v>478</v>
      </c>
      <c r="I198" s="2" t="s">
        <v>478</v>
      </c>
      <c r="J198" s="9" t="s">
        <v>508</v>
      </c>
    </row>
    <row r="199" spans="1:10" x14ac:dyDescent="0.3">
      <c r="A199" s="6" t="s">
        <v>494</v>
      </c>
      <c r="B199" t="s">
        <v>495</v>
      </c>
      <c r="C199" s="7" t="s">
        <v>29</v>
      </c>
      <c r="E199" s="3" t="s">
        <v>496</v>
      </c>
      <c r="F199" s="2" t="str">
        <f t="shared" si="3"/>
        <v>6</v>
      </c>
      <c r="G199" s="8" t="s">
        <v>369</v>
      </c>
      <c r="H199" s="2" t="s">
        <v>478</v>
      </c>
      <c r="I199" s="2" t="s">
        <v>478</v>
      </c>
      <c r="J199" s="9" t="s">
        <v>508</v>
      </c>
    </row>
    <row r="200" spans="1:10" x14ac:dyDescent="0.3">
      <c r="A200" s="6" t="s">
        <v>31</v>
      </c>
      <c r="B200" t="s">
        <v>497</v>
      </c>
      <c r="C200" s="7" t="s">
        <v>4</v>
      </c>
      <c r="E200" s="3" t="s">
        <v>498</v>
      </c>
      <c r="F200" s="2" t="str">
        <f t="shared" si="3"/>
        <v>7</v>
      </c>
      <c r="G200" s="8" t="s">
        <v>369</v>
      </c>
      <c r="H200" s="2" t="s">
        <v>478</v>
      </c>
      <c r="I200" s="2" t="s">
        <v>478</v>
      </c>
      <c r="J200" s="9" t="s">
        <v>508</v>
      </c>
    </row>
    <row r="201" spans="1:10" x14ac:dyDescent="0.3">
      <c r="A201" s="6" t="s">
        <v>499</v>
      </c>
      <c r="B201" t="s">
        <v>500</v>
      </c>
      <c r="C201" s="7" t="s">
        <v>16</v>
      </c>
      <c r="E201" s="3" t="s">
        <v>501</v>
      </c>
      <c r="F201" s="2" t="str">
        <f t="shared" si="3"/>
        <v>5</v>
      </c>
      <c r="G201" s="8" t="s">
        <v>369</v>
      </c>
      <c r="H201" s="2" t="s">
        <v>478</v>
      </c>
      <c r="I201" s="2" t="s">
        <v>478</v>
      </c>
      <c r="J201" s="9" t="s">
        <v>508</v>
      </c>
    </row>
    <row r="202" spans="1:10" x14ac:dyDescent="0.3">
      <c r="A202" s="6" t="s">
        <v>502</v>
      </c>
      <c r="B202" t="s">
        <v>503</v>
      </c>
      <c r="C202" s="7" t="s">
        <v>4</v>
      </c>
      <c r="E202" s="3" t="s">
        <v>504</v>
      </c>
      <c r="F202" s="2" t="str">
        <f t="shared" si="3"/>
        <v>4</v>
      </c>
      <c r="G202" s="8" t="s">
        <v>369</v>
      </c>
      <c r="H202" s="2" t="s">
        <v>478</v>
      </c>
      <c r="I202" s="2" t="s">
        <v>478</v>
      </c>
      <c r="J202" s="9" t="s">
        <v>508</v>
      </c>
    </row>
    <row r="203" spans="1:10" x14ac:dyDescent="0.3">
      <c r="A203" s="6" t="s">
        <v>505</v>
      </c>
      <c r="B203" t="s">
        <v>506</v>
      </c>
      <c r="C203" s="7" t="s">
        <v>4</v>
      </c>
      <c r="E203" s="3" t="s">
        <v>507</v>
      </c>
      <c r="F203" s="2" t="str">
        <f t="shared" si="3"/>
        <v>6</v>
      </c>
      <c r="G203" s="8" t="s">
        <v>369</v>
      </c>
      <c r="H203" s="2" t="s">
        <v>478</v>
      </c>
      <c r="I203" s="2" t="s">
        <v>478</v>
      </c>
      <c r="J203" s="9" t="s">
        <v>508</v>
      </c>
    </row>
    <row r="204" spans="1:10" x14ac:dyDescent="0.3">
      <c r="A204" s="6" t="s">
        <v>509</v>
      </c>
      <c r="B204" t="s">
        <v>510</v>
      </c>
      <c r="C204" s="7" t="s">
        <v>511</v>
      </c>
      <c r="D204" t="s">
        <v>512</v>
      </c>
      <c r="E204" s="3" t="s">
        <v>513</v>
      </c>
      <c r="F204" s="2" t="str">
        <f t="shared" si="3"/>
        <v>1</v>
      </c>
      <c r="G204" s="8" t="s">
        <v>369</v>
      </c>
      <c r="H204" s="2" t="s">
        <v>12</v>
      </c>
      <c r="I204" s="2" t="s">
        <v>12</v>
      </c>
      <c r="J204" s="9" t="s">
        <v>508</v>
      </c>
    </row>
    <row r="205" spans="1:10" x14ac:dyDescent="0.3">
      <c r="A205" s="6" t="s">
        <v>514</v>
      </c>
      <c r="B205" t="s">
        <v>515</v>
      </c>
      <c r="C205" s="7" t="s">
        <v>16</v>
      </c>
      <c r="E205" s="3" t="s">
        <v>516</v>
      </c>
      <c r="F205" s="2" t="str">
        <f t="shared" si="3"/>
        <v>1</v>
      </c>
      <c r="G205" s="8" t="s">
        <v>369</v>
      </c>
      <c r="H205" s="2" t="s">
        <v>12</v>
      </c>
      <c r="I205" s="2" t="s">
        <v>12</v>
      </c>
      <c r="J205" s="9" t="s">
        <v>508</v>
      </c>
    </row>
    <row r="206" spans="1:10" x14ac:dyDescent="0.3">
      <c r="A206" s="6" t="s">
        <v>517</v>
      </c>
      <c r="B206" t="s">
        <v>518</v>
      </c>
      <c r="C206" s="7" t="s">
        <v>523</v>
      </c>
      <c r="D206" t="s">
        <v>524</v>
      </c>
      <c r="E206" s="3" t="s">
        <v>525</v>
      </c>
      <c r="F206" s="2" t="str">
        <f t="shared" si="3"/>
        <v>1</v>
      </c>
      <c r="G206" s="8" t="s">
        <v>369</v>
      </c>
      <c r="H206" s="2" t="s">
        <v>12</v>
      </c>
      <c r="I206" s="2" t="s">
        <v>12</v>
      </c>
      <c r="J206" s="9" t="s">
        <v>508</v>
      </c>
    </row>
    <row r="207" spans="1:10" x14ac:dyDescent="0.3">
      <c r="A207" s="6" t="s">
        <v>517</v>
      </c>
      <c r="B207" t="s">
        <v>519</v>
      </c>
      <c r="C207" s="7" t="s">
        <v>523</v>
      </c>
      <c r="D207" t="s">
        <v>524</v>
      </c>
      <c r="E207" s="3" t="s">
        <v>526</v>
      </c>
      <c r="F207" s="2" t="str">
        <f t="shared" si="3"/>
        <v>9</v>
      </c>
      <c r="G207" s="8" t="s">
        <v>369</v>
      </c>
      <c r="H207" s="2" t="s">
        <v>12</v>
      </c>
      <c r="I207" s="2" t="s">
        <v>12</v>
      </c>
      <c r="J207" s="9" t="s">
        <v>508</v>
      </c>
    </row>
    <row r="208" spans="1:10" x14ac:dyDescent="0.3">
      <c r="A208" s="6" t="s">
        <v>517</v>
      </c>
      <c r="B208" t="s">
        <v>520</v>
      </c>
      <c r="C208" s="7" t="s">
        <v>523</v>
      </c>
      <c r="D208" t="s">
        <v>524</v>
      </c>
      <c r="E208" s="3" t="s">
        <v>527</v>
      </c>
      <c r="F208" s="2" t="str">
        <f t="shared" si="3"/>
        <v>1</v>
      </c>
      <c r="G208" s="8" t="s">
        <v>369</v>
      </c>
      <c r="H208" s="2" t="s">
        <v>12</v>
      </c>
      <c r="I208" s="2" t="s">
        <v>12</v>
      </c>
      <c r="J208" s="9" t="s">
        <v>508</v>
      </c>
    </row>
    <row r="209" spans="1:10" x14ac:dyDescent="0.3">
      <c r="A209" s="6" t="s">
        <v>517</v>
      </c>
      <c r="B209" t="s">
        <v>520</v>
      </c>
      <c r="C209" s="7" t="s">
        <v>29</v>
      </c>
      <c r="E209" s="3" t="s">
        <v>528</v>
      </c>
      <c r="F209" s="2" t="str">
        <f t="shared" si="3"/>
        <v>3</v>
      </c>
      <c r="G209" s="8" t="s">
        <v>369</v>
      </c>
      <c r="H209" s="2" t="s">
        <v>12</v>
      </c>
      <c r="I209" s="2" t="s">
        <v>12</v>
      </c>
      <c r="J209" s="9" t="s">
        <v>508</v>
      </c>
    </row>
    <row r="210" spans="1:10" x14ac:dyDescent="0.3">
      <c r="A210" s="6" t="s">
        <v>517</v>
      </c>
      <c r="B210" t="s">
        <v>521</v>
      </c>
      <c r="C210" s="7" t="s">
        <v>523</v>
      </c>
      <c r="D210" t="s">
        <v>524</v>
      </c>
      <c r="E210" s="3" t="s">
        <v>529</v>
      </c>
      <c r="F210" s="2" t="str">
        <f t="shared" si="3"/>
        <v>2</v>
      </c>
      <c r="G210" s="8" t="s">
        <v>369</v>
      </c>
      <c r="H210" s="2" t="s">
        <v>12</v>
      </c>
      <c r="I210" s="2" t="s">
        <v>12</v>
      </c>
      <c r="J210" s="9" t="s">
        <v>508</v>
      </c>
    </row>
    <row r="211" spans="1:10" x14ac:dyDescent="0.3">
      <c r="A211" s="6" t="s">
        <v>517</v>
      </c>
      <c r="B211" t="s">
        <v>522</v>
      </c>
      <c r="C211" s="7" t="s">
        <v>523</v>
      </c>
      <c r="D211" t="s">
        <v>524</v>
      </c>
      <c r="E211" s="3" t="s">
        <v>530</v>
      </c>
      <c r="F211" s="2" t="str">
        <f t="shared" si="3"/>
        <v>9</v>
      </c>
      <c r="G211" s="8" t="s">
        <v>369</v>
      </c>
      <c r="H211" s="2" t="s">
        <v>12</v>
      </c>
      <c r="I211" s="2" t="s">
        <v>12</v>
      </c>
      <c r="J211" s="9" t="s">
        <v>508</v>
      </c>
    </row>
    <row r="212" spans="1:10" x14ac:dyDescent="0.3">
      <c r="A212" s="6" t="s">
        <v>531</v>
      </c>
      <c r="B212" t="s">
        <v>532</v>
      </c>
      <c r="C212" s="7" t="s">
        <v>533</v>
      </c>
      <c r="D212" t="s">
        <v>534</v>
      </c>
      <c r="E212" s="3" t="s">
        <v>535</v>
      </c>
      <c r="F212" s="2" t="str">
        <f t="shared" si="3"/>
        <v>1</v>
      </c>
      <c r="G212" s="8" t="s">
        <v>369</v>
      </c>
      <c r="H212" s="2" t="s">
        <v>536</v>
      </c>
      <c r="I212" s="2" t="s">
        <v>536</v>
      </c>
      <c r="J212" s="9" t="s">
        <v>508</v>
      </c>
    </row>
    <row r="213" spans="1:10" x14ac:dyDescent="0.3">
      <c r="A213" s="6" t="s">
        <v>31</v>
      </c>
      <c r="B213" t="s">
        <v>537</v>
      </c>
      <c r="C213" s="7" t="s">
        <v>4</v>
      </c>
      <c r="E213" s="3" t="s">
        <v>538</v>
      </c>
      <c r="F213" s="2" t="str">
        <f t="shared" si="3"/>
        <v>1</v>
      </c>
      <c r="G213" s="8" t="s">
        <v>369</v>
      </c>
      <c r="H213" s="2" t="s">
        <v>12</v>
      </c>
      <c r="I213" s="2" t="s">
        <v>12</v>
      </c>
      <c r="J213" s="9" t="s">
        <v>508</v>
      </c>
    </row>
    <row r="214" spans="1:10" x14ac:dyDescent="0.3">
      <c r="A214" s="6" t="s">
        <v>543</v>
      </c>
      <c r="B214" t="s">
        <v>544</v>
      </c>
      <c r="C214" s="7" t="s">
        <v>4</v>
      </c>
      <c r="E214" s="3" t="s">
        <v>545</v>
      </c>
      <c r="F214" s="2" t="str">
        <f t="shared" si="3"/>
        <v>4</v>
      </c>
      <c r="G214" s="8" t="s">
        <v>369</v>
      </c>
      <c r="H214" s="2" t="s">
        <v>12</v>
      </c>
      <c r="I214" s="2" t="s">
        <v>12</v>
      </c>
      <c r="J214" s="9" t="s">
        <v>553</v>
      </c>
    </row>
    <row r="215" spans="1:10" x14ac:dyDescent="0.3">
      <c r="A215" s="6" t="s">
        <v>546</v>
      </c>
      <c r="B215" t="s">
        <v>547</v>
      </c>
      <c r="C215" s="7" t="s">
        <v>548</v>
      </c>
      <c r="D215" t="s">
        <v>549</v>
      </c>
      <c r="E215" s="3" t="s">
        <v>550</v>
      </c>
      <c r="F215" s="2" t="str">
        <f t="shared" si="3"/>
        <v>2</v>
      </c>
      <c r="G215" s="8" t="s">
        <v>369</v>
      </c>
      <c r="H215" s="2" t="s">
        <v>12</v>
      </c>
      <c r="I215" s="2" t="s">
        <v>12</v>
      </c>
      <c r="J215" s="9" t="s">
        <v>553</v>
      </c>
    </row>
    <row r="216" spans="1:10" x14ac:dyDescent="0.3">
      <c r="A216" s="6" t="s">
        <v>543</v>
      </c>
      <c r="B216" t="s">
        <v>551</v>
      </c>
      <c r="C216" s="7" t="s">
        <v>4</v>
      </c>
      <c r="E216" s="3" t="s">
        <v>552</v>
      </c>
      <c r="F216" s="2" t="str">
        <f t="shared" si="3"/>
        <v>6</v>
      </c>
      <c r="G216" s="8" t="s">
        <v>369</v>
      </c>
      <c r="H216" s="2" t="s">
        <v>12</v>
      </c>
      <c r="I216" s="2" t="s">
        <v>12</v>
      </c>
      <c r="J216" s="9" t="s">
        <v>553</v>
      </c>
    </row>
    <row r="217" spans="1:10" x14ac:dyDescent="0.3">
      <c r="A217" s="6" t="s">
        <v>554</v>
      </c>
      <c r="B217" t="s">
        <v>555</v>
      </c>
      <c r="C217" s="7" t="s">
        <v>4</v>
      </c>
      <c r="E217" s="3" t="s">
        <v>556</v>
      </c>
      <c r="F217" s="2" t="str">
        <f t="shared" si="3"/>
        <v>3</v>
      </c>
      <c r="G217" s="8" t="s">
        <v>369</v>
      </c>
      <c r="H217" s="2" t="s">
        <v>12</v>
      </c>
      <c r="I217" s="2" t="s">
        <v>12</v>
      </c>
      <c r="J217" s="9" t="s">
        <v>553</v>
      </c>
    </row>
    <row r="218" spans="1:10" x14ac:dyDescent="0.3">
      <c r="A218" s="6" t="s">
        <v>187</v>
      </c>
      <c r="B218" t="s">
        <v>557</v>
      </c>
      <c r="C218" s="7" t="s">
        <v>16</v>
      </c>
      <c r="E218" s="3" t="s">
        <v>558</v>
      </c>
      <c r="F218" s="2" t="str">
        <f t="shared" si="3"/>
        <v>4</v>
      </c>
      <c r="G218" s="8" t="s">
        <v>369</v>
      </c>
      <c r="H218" s="2" t="s">
        <v>12</v>
      </c>
      <c r="I218" s="2" t="s">
        <v>12</v>
      </c>
      <c r="J218" s="9" t="s">
        <v>553</v>
      </c>
    </row>
    <row r="219" spans="1:10" x14ac:dyDescent="0.3">
      <c r="A219" s="6" t="s">
        <v>559</v>
      </c>
      <c r="B219" t="s">
        <v>560</v>
      </c>
      <c r="C219" s="7" t="s">
        <v>561</v>
      </c>
      <c r="D219" t="s">
        <v>562</v>
      </c>
      <c r="E219" s="3" t="s">
        <v>563</v>
      </c>
      <c r="F219" s="2" t="str">
        <f t="shared" si="3"/>
        <v>5</v>
      </c>
      <c r="G219" s="8" t="s">
        <v>369</v>
      </c>
      <c r="H219" s="2" t="s">
        <v>12</v>
      </c>
      <c r="I219" s="2" t="s">
        <v>12</v>
      </c>
      <c r="J219" s="9" t="s">
        <v>553</v>
      </c>
    </row>
    <row r="220" spans="1:10" x14ac:dyDescent="0.3">
      <c r="A220" s="6" t="s">
        <v>187</v>
      </c>
      <c r="B220" t="s">
        <v>564</v>
      </c>
      <c r="C220" s="7" t="s">
        <v>561</v>
      </c>
      <c r="D220" t="s">
        <v>565</v>
      </c>
      <c r="E220" s="3" t="s">
        <v>566</v>
      </c>
      <c r="F220" s="2" t="str">
        <f t="shared" si="3"/>
        <v>9</v>
      </c>
      <c r="G220" s="8" t="s">
        <v>369</v>
      </c>
      <c r="H220" s="2" t="s">
        <v>12</v>
      </c>
      <c r="I220" s="2" t="s">
        <v>12</v>
      </c>
      <c r="J220" s="9" t="s">
        <v>553</v>
      </c>
    </row>
    <row r="221" spans="1:10" x14ac:dyDescent="0.3">
      <c r="A221" s="6" t="s">
        <v>567</v>
      </c>
      <c r="B221" t="s">
        <v>568</v>
      </c>
      <c r="C221" s="7" t="s">
        <v>4</v>
      </c>
      <c r="E221" s="3" t="s">
        <v>569</v>
      </c>
      <c r="F221" s="2" t="str">
        <f t="shared" si="3"/>
        <v>4</v>
      </c>
      <c r="G221" s="8" t="s">
        <v>369</v>
      </c>
      <c r="H221" s="2" t="s">
        <v>12</v>
      </c>
      <c r="I221" s="2" t="s">
        <v>12</v>
      </c>
      <c r="J221" s="9" t="s">
        <v>553</v>
      </c>
    </row>
    <row r="222" spans="1:10" x14ac:dyDescent="0.3">
      <c r="A222" s="6" t="s">
        <v>13</v>
      </c>
      <c r="B222" t="s">
        <v>570</v>
      </c>
      <c r="C222" s="7" t="s">
        <v>4</v>
      </c>
      <c r="E222" s="3" t="s">
        <v>571</v>
      </c>
      <c r="F222" s="2" t="str">
        <f t="shared" si="3"/>
        <v>3</v>
      </c>
      <c r="G222" s="8" t="s">
        <v>369</v>
      </c>
      <c r="H222" s="2" t="s">
        <v>572</v>
      </c>
      <c r="I222" s="2" t="s">
        <v>572</v>
      </c>
      <c r="J222" s="2" t="s">
        <v>602</v>
      </c>
    </row>
    <row r="223" spans="1:10" x14ac:dyDescent="0.3">
      <c r="A223" s="6" t="s">
        <v>245</v>
      </c>
      <c r="B223" t="s">
        <v>573</v>
      </c>
      <c r="C223" s="7" t="s">
        <v>4</v>
      </c>
      <c r="E223" s="3" t="s">
        <v>574</v>
      </c>
      <c r="F223" s="2" t="str">
        <f t="shared" si="3"/>
        <v>5</v>
      </c>
      <c r="G223" s="8" t="s">
        <v>369</v>
      </c>
      <c r="H223" s="2" t="s">
        <v>572</v>
      </c>
      <c r="I223" s="2" t="s">
        <v>572</v>
      </c>
      <c r="J223" s="2" t="s">
        <v>602</v>
      </c>
    </row>
    <row r="224" spans="1:10" x14ac:dyDescent="0.3">
      <c r="A224" s="6" t="s">
        <v>48</v>
      </c>
      <c r="B224" t="s">
        <v>575</v>
      </c>
      <c r="C224" s="7" t="s">
        <v>4</v>
      </c>
      <c r="E224" s="3" t="s">
        <v>576</v>
      </c>
      <c r="F224" s="2" t="str">
        <f t="shared" si="3"/>
        <v>9</v>
      </c>
      <c r="G224" s="8" t="s">
        <v>369</v>
      </c>
      <c r="H224" s="2" t="s">
        <v>572</v>
      </c>
      <c r="I224" s="2" t="s">
        <v>572</v>
      </c>
      <c r="J224" s="2" t="s">
        <v>602</v>
      </c>
    </row>
    <row r="225" spans="1:10" x14ac:dyDescent="0.3">
      <c r="A225" s="6" t="s">
        <v>68</v>
      </c>
      <c r="B225" t="s">
        <v>577</v>
      </c>
      <c r="C225" s="7" t="s">
        <v>4</v>
      </c>
      <c r="E225" s="3" t="s">
        <v>578</v>
      </c>
      <c r="F225" s="2" t="str">
        <f t="shared" si="3"/>
        <v>2</v>
      </c>
      <c r="G225" s="8" t="s">
        <v>369</v>
      </c>
      <c r="H225" s="2" t="s">
        <v>572</v>
      </c>
      <c r="I225" s="2" t="s">
        <v>572</v>
      </c>
      <c r="J225" s="2" t="s">
        <v>602</v>
      </c>
    </row>
    <row r="226" spans="1:10" x14ac:dyDescent="0.3">
      <c r="A226" s="6" t="s">
        <v>13</v>
      </c>
      <c r="B226" t="s">
        <v>579</v>
      </c>
      <c r="C226" s="7" t="s">
        <v>4</v>
      </c>
      <c r="E226" s="3" t="s">
        <v>580</v>
      </c>
      <c r="F226" s="2" t="str">
        <f t="shared" si="3"/>
        <v>9</v>
      </c>
      <c r="G226" s="8" t="s">
        <v>369</v>
      </c>
      <c r="H226" s="2" t="s">
        <v>572</v>
      </c>
      <c r="I226" s="2" t="s">
        <v>572</v>
      </c>
      <c r="J226" s="2" t="s">
        <v>602</v>
      </c>
    </row>
    <row r="227" spans="1:10" x14ac:dyDescent="0.3">
      <c r="A227" s="6" t="s">
        <v>13</v>
      </c>
      <c r="B227" t="s">
        <v>592</v>
      </c>
      <c r="C227" s="7" t="s">
        <v>4</v>
      </c>
      <c r="E227" s="3" t="s">
        <v>593</v>
      </c>
      <c r="F227" s="2" t="str">
        <f t="shared" si="3"/>
        <v>2</v>
      </c>
      <c r="G227" s="8" t="s">
        <v>369</v>
      </c>
      <c r="H227" s="2" t="s">
        <v>572</v>
      </c>
      <c r="I227" s="2" t="s">
        <v>572</v>
      </c>
      <c r="J227" s="2" t="s">
        <v>602</v>
      </c>
    </row>
    <row r="228" spans="1:10" x14ac:dyDescent="0.3">
      <c r="A228" s="6" t="s">
        <v>594</v>
      </c>
      <c r="B228" t="s">
        <v>595</v>
      </c>
      <c r="C228" s="7" t="s">
        <v>4</v>
      </c>
      <c r="E228" s="3" t="s">
        <v>596</v>
      </c>
      <c r="F228" s="2" t="str">
        <f t="shared" si="3"/>
        <v>1</v>
      </c>
      <c r="G228" s="8" t="s">
        <v>369</v>
      </c>
      <c r="H228" s="2" t="s">
        <v>572</v>
      </c>
      <c r="I228" s="2" t="s">
        <v>572</v>
      </c>
      <c r="J228" s="2" t="s">
        <v>602</v>
      </c>
    </row>
    <row r="229" spans="1:10" x14ac:dyDescent="0.3">
      <c r="A229" s="6" t="s">
        <v>68</v>
      </c>
      <c r="B229" t="s">
        <v>597</v>
      </c>
      <c r="C229" s="7" t="s">
        <v>4</v>
      </c>
      <c r="E229" s="3" t="s">
        <v>598</v>
      </c>
      <c r="F229" s="2" t="str">
        <f t="shared" si="3"/>
        <v>6</v>
      </c>
      <c r="G229" s="8" t="s">
        <v>369</v>
      </c>
      <c r="H229" s="2" t="s">
        <v>572</v>
      </c>
      <c r="I229" s="2" t="s">
        <v>572</v>
      </c>
      <c r="J229" s="2" t="s">
        <v>602</v>
      </c>
    </row>
    <row r="230" spans="1:10" x14ac:dyDescent="0.3">
      <c r="A230" s="6" t="s">
        <v>599</v>
      </c>
      <c r="B230" t="s">
        <v>600</v>
      </c>
      <c r="C230" s="7" t="s">
        <v>4</v>
      </c>
      <c r="E230" s="3" t="s">
        <v>601</v>
      </c>
      <c r="F230" s="2" t="str">
        <f t="shared" si="3"/>
        <v>7</v>
      </c>
      <c r="G230" s="8" t="s">
        <v>369</v>
      </c>
      <c r="H230" s="2" t="s">
        <v>572</v>
      </c>
      <c r="I230" s="2" t="s">
        <v>572</v>
      </c>
      <c r="J230" s="2" t="s">
        <v>602</v>
      </c>
    </row>
    <row r="231" spans="1:10" x14ac:dyDescent="0.3">
      <c r="A231" s="6" t="s">
        <v>603</v>
      </c>
      <c r="B231" t="s">
        <v>604</v>
      </c>
      <c r="C231" s="7" t="s">
        <v>606</v>
      </c>
      <c r="D231" t="s">
        <v>607</v>
      </c>
      <c r="E231" s="3" t="s">
        <v>608</v>
      </c>
      <c r="F231" s="2" t="str">
        <f t="shared" si="3"/>
        <v>6</v>
      </c>
      <c r="G231" s="8" t="s">
        <v>369</v>
      </c>
      <c r="H231" s="2" t="s">
        <v>12</v>
      </c>
      <c r="I231" s="2" t="s">
        <v>12</v>
      </c>
      <c r="J231" s="2" t="s">
        <v>602</v>
      </c>
    </row>
    <row r="232" spans="1:10" x14ac:dyDescent="0.3">
      <c r="A232" s="6" t="s">
        <v>603</v>
      </c>
      <c r="B232" t="s">
        <v>605</v>
      </c>
      <c r="C232" s="7" t="s">
        <v>606</v>
      </c>
      <c r="D232" t="s">
        <v>607</v>
      </c>
      <c r="E232" s="3" t="s">
        <v>609</v>
      </c>
      <c r="F232" s="2" t="str">
        <f t="shared" si="3"/>
        <v>4</v>
      </c>
      <c r="G232" s="8" t="s">
        <v>369</v>
      </c>
      <c r="H232" s="2" t="s">
        <v>12</v>
      </c>
      <c r="I232" s="2" t="s">
        <v>12</v>
      </c>
      <c r="J232" s="2" t="s">
        <v>602</v>
      </c>
    </row>
    <row r="233" spans="1:10" x14ac:dyDescent="0.3">
      <c r="A233" s="6" t="s">
        <v>610</v>
      </c>
      <c r="B233" t="s">
        <v>611</v>
      </c>
      <c r="C233" s="7" t="s">
        <v>4</v>
      </c>
      <c r="E233" s="3" t="s">
        <v>612</v>
      </c>
      <c r="F233" s="2" t="str">
        <f t="shared" si="3"/>
        <v>3</v>
      </c>
      <c r="G233" s="8" t="s">
        <v>369</v>
      </c>
      <c r="H233" s="2" t="s">
        <v>12</v>
      </c>
      <c r="I233" s="2" t="s">
        <v>12</v>
      </c>
      <c r="J233" s="2" t="s">
        <v>602</v>
      </c>
    </row>
    <row r="234" spans="1:10" x14ac:dyDescent="0.3">
      <c r="A234" s="6" t="s">
        <v>613</v>
      </c>
      <c r="B234" t="s">
        <v>614</v>
      </c>
      <c r="C234" s="7" t="s">
        <v>616</v>
      </c>
      <c r="E234" s="3" t="s">
        <v>615</v>
      </c>
      <c r="F234" s="2" t="str">
        <f t="shared" si="3"/>
        <v>5</v>
      </c>
      <c r="G234" s="8" t="s">
        <v>369</v>
      </c>
      <c r="H234" s="2" t="s">
        <v>12</v>
      </c>
      <c r="I234" s="2" t="s">
        <v>12</v>
      </c>
      <c r="J234" s="2" t="s">
        <v>602</v>
      </c>
    </row>
    <row r="235" spans="1:10" x14ac:dyDescent="0.3">
      <c r="A235" s="6" t="s">
        <v>617</v>
      </c>
      <c r="B235" t="s">
        <v>618</v>
      </c>
      <c r="C235" s="7" t="s">
        <v>16</v>
      </c>
      <c r="E235" s="3" t="s">
        <v>619</v>
      </c>
      <c r="F235" s="2" t="str">
        <f t="shared" si="3"/>
        <v>6</v>
      </c>
      <c r="G235" s="8" t="s">
        <v>369</v>
      </c>
      <c r="H235" s="2" t="s">
        <v>12</v>
      </c>
      <c r="I235" s="2" t="s">
        <v>12</v>
      </c>
      <c r="J235" s="2" t="s">
        <v>602</v>
      </c>
    </row>
    <row r="236" spans="1:10" x14ac:dyDescent="0.3">
      <c r="A236" s="6" t="s">
        <v>187</v>
      </c>
      <c r="B236" t="s">
        <v>620</v>
      </c>
      <c r="C236" s="7" t="s">
        <v>4</v>
      </c>
      <c r="E236" s="3" t="s">
        <v>621</v>
      </c>
      <c r="F236" s="2" t="str">
        <f t="shared" si="3"/>
        <v>5</v>
      </c>
      <c r="G236" s="8" t="s">
        <v>369</v>
      </c>
      <c r="H236" s="2" t="s">
        <v>12</v>
      </c>
      <c r="I236" s="2" t="s">
        <v>12</v>
      </c>
      <c r="J236" s="2" t="s">
        <v>602</v>
      </c>
    </row>
    <row r="237" spans="1:10" x14ac:dyDescent="0.3">
      <c r="A237" s="6" t="s">
        <v>622</v>
      </c>
      <c r="B237" t="s">
        <v>623</v>
      </c>
      <c r="C237" s="7" t="s">
        <v>4</v>
      </c>
      <c r="E237" s="3" t="s">
        <v>624</v>
      </c>
      <c r="F237" s="2" t="str">
        <f t="shared" si="3"/>
        <v>5</v>
      </c>
      <c r="G237" s="8" t="s">
        <v>369</v>
      </c>
      <c r="H237" s="2" t="s">
        <v>12</v>
      </c>
      <c r="I237" s="2" t="s">
        <v>12</v>
      </c>
      <c r="J237" s="2" t="s">
        <v>602</v>
      </c>
    </row>
    <row r="238" spans="1:10" x14ac:dyDescent="0.3">
      <c r="A238" s="6" t="s">
        <v>622</v>
      </c>
      <c r="B238" t="s">
        <v>623</v>
      </c>
      <c r="C238" s="7" t="s">
        <v>4</v>
      </c>
      <c r="E238" s="3" t="s">
        <v>625</v>
      </c>
      <c r="F238" s="2" t="str">
        <f t="shared" si="3"/>
        <v>1</v>
      </c>
      <c r="G238" s="8" t="s">
        <v>369</v>
      </c>
      <c r="H238" s="2" t="s">
        <v>12</v>
      </c>
      <c r="I238" s="2" t="s">
        <v>12</v>
      </c>
      <c r="J238" s="2" t="s">
        <v>602</v>
      </c>
    </row>
    <row r="239" spans="1:10" x14ac:dyDescent="0.3">
      <c r="A239" s="6" t="s">
        <v>626</v>
      </c>
      <c r="B239" t="s">
        <v>627</v>
      </c>
      <c r="C239" s="7" t="s">
        <v>4</v>
      </c>
      <c r="E239" s="3" t="s">
        <v>628</v>
      </c>
      <c r="F239" s="2" t="str">
        <f t="shared" si="3"/>
        <v>5</v>
      </c>
      <c r="G239" s="8" t="s">
        <v>369</v>
      </c>
      <c r="H239" s="2" t="s">
        <v>12</v>
      </c>
      <c r="I239" s="2" t="s">
        <v>12</v>
      </c>
      <c r="J239" s="2" t="s">
        <v>602</v>
      </c>
    </row>
    <row r="240" spans="1:10" x14ac:dyDescent="0.3">
      <c r="A240" s="6" t="s">
        <v>629</v>
      </c>
      <c r="B240" t="s">
        <v>630</v>
      </c>
      <c r="C240" s="7" t="s">
        <v>4</v>
      </c>
      <c r="E240" s="3" t="s">
        <v>631</v>
      </c>
      <c r="F240" s="2" t="str">
        <f t="shared" si="3"/>
        <v>2</v>
      </c>
      <c r="G240" s="8" t="s">
        <v>369</v>
      </c>
      <c r="H240" s="2" t="s">
        <v>12</v>
      </c>
      <c r="I240" s="2" t="s">
        <v>12</v>
      </c>
      <c r="J240" s="2" t="s">
        <v>602</v>
      </c>
    </row>
    <row r="241" spans="1:10" x14ac:dyDescent="0.3">
      <c r="A241" s="6" t="s">
        <v>632</v>
      </c>
      <c r="B241" t="s">
        <v>633</v>
      </c>
      <c r="C241" s="7" t="s">
        <v>4</v>
      </c>
      <c r="E241" s="3" t="s">
        <v>634</v>
      </c>
      <c r="F241" s="2" t="str">
        <f t="shared" si="3"/>
        <v>1</v>
      </c>
      <c r="G241" s="8" t="s">
        <v>369</v>
      </c>
      <c r="H241" s="2" t="s">
        <v>12</v>
      </c>
      <c r="I241" s="2" t="s">
        <v>12</v>
      </c>
      <c r="J241" s="2" t="s">
        <v>602</v>
      </c>
    </row>
    <row r="242" spans="1:10" x14ac:dyDescent="0.3">
      <c r="A242" s="6" t="s">
        <v>635</v>
      </c>
      <c r="B242" t="s">
        <v>636</v>
      </c>
      <c r="C242" s="7" t="s">
        <v>4</v>
      </c>
      <c r="E242" s="3" t="s">
        <v>637</v>
      </c>
      <c r="F242" s="2" t="str">
        <f t="shared" si="3"/>
        <v>0</v>
      </c>
      <c r="G242" s="8" t="s">
        <v>369</v>
      </c>
      <c r="H242" s="2" t="s">
        <v>12</v>
      </c>
      <c r="I242" s="2" t="s">
        <v>12</v>
      </c>
      <c r="J242" s="2" t="s">
        <v>602</v>
      </c>
    </row>
    <row r="243" spans="1:10" x14ac:dyDescent="0.3">
      <c r="A243" s="6" t="s">
        <v>638</v>
      </c>
      <c r="B243" t="s">
        <v>639</v>
      </c>
      <c r="C243" s="7" t="s">
        <v>4</v>
      </c>
      <c r="E243" s="3" t="s">
        <v>640</v>
      </c>
      <c r="F243" s="2" t="str">
        <f t="shared" si="3"/>
        <v>0</v>
      </c>
      <c r="G243" s="8" t="s">
        <v>369</v>
      </c>
      <c r="H243" s="2" t="s">
        <v>12</v>
      </c>
      <c r="I243" s="2" t="s">
        <v>12</v>
      </c>
      <c r="J243" s="2" t="s">
        <v>602</v>
      </c>
    </row>
    <row r="244" spans="1:10" x14ac:dyDescent="0.3">
      <c r="A244" s="6" t="s">
        <v>641</v>
      </c>
      <c r="B244" t="s">
        <v>642</v>
      </c>
      <c r="C244" s="7" t="s">
        <v>606</v>
      </c>
      <c r="D244" t="s">
        <v>643</v>
      </c>
      <c r="E244" s="3" t="s">
        <v>644</v>
      </c>
      <c r="F244" s="2" t="str">
        <f t="shared" si="3"/>
        <v>2</v>
      </c>
      <c r="G244" s="8" t="s">
        <v>369</v>
      </c>
      <c r="H244" s="2" t="s">
        <v>12</v>
      </c>
      <c r="I244" s="2" t="s">
        <v>12</v>
      </c>
      <c r="J244" s="2" t="s">
        <v>602</v>
      </c>
    </row>
    <row r="245" spans="1:10" x14ac:dyDescent="0.3">
      <c r="A245" s="6" t="s">
        <v>48</v>
      </c>
      <c r="B245" t="s">
        <v>645</v>
      </c>
      <c r="C245" s="7" t="s">
        <v>4</v>
      </c>
      <c r="E245" s="3" t="s">
        <v>646</v>
      </c>
      <c r="F245" s="2" t="str">
        <f t="shared" si="3"/>
        <v>1</v>
      </c>
      <c r="G245" s="8" t="s">
        <v>369</v>
      </c>
      <c r="H245" s="2" t="s">
        <v>12</v>
      </c>
      <c r="I245" s="2" t="s">
        <v>12</v>
      </c>
      <c r="J245" s="2" t="s">
        <v>602</v>
      </c>
    </row>
    <row r="246" spans="1:10" x14ac:dyDescent="0.3">
      <c r="A246" s="6" t="s">
        <v>13</v>
      </c>
      <c r="B246" t="s">
        <v>647</v>
      </c>
      <c r="C246" s="7" t="s">
        <v>4</v>
      </c>
      <c r="E246" s="3" t="s">
        <v>648</v>
      </c>
      <c r="F246" s="2" t="str">
        <f t="shared" si="3"/>
        <v>0</v>
      </c>
      <c r="G246" s="8" t="s">
        <v>369</v>
      </c>
      <c r="H246" s="2" t="s">
        <v>12</v>
      </c>
      <c r="I246" s="2" t="s">
        <v>12</v>
      </c>
      <c r="J246" s="2" t="s">
        <v>602</v>
      </c>
    </row>
    <row r="247" spans="1:10" x14ac:dyDescent="0.3">
      <c r="A247" s="6" t="s">
        <v>649</v>
      </c>
      <c r="B247" t="s">
        <v>650</v>
      </c>
      <c r="C247" s="7" t="s">
        <v>606</v>
      </c>
      <c r="D247" t="s">
        <v>654</v>
      </c>
      <c r="E247" s="3" t="s">
        <v>651</v>
      </c>
      <c r="F247" s="2" t="str">
        <f t="shared" si="3"/>
        <v>3</v>
      </c>
      <c r="G247" s="8" t="s">
        <v>369</v>
      </c>
      <c r="H247" s="2" t="s">
        <v>12</v>
      </c>
      <c r="I247" s="2" t="s">
        <v>12</v>
      </c>
      <c r="J247" s="2" t="s">
        <v>602</v>
      </c>
    </row>
    <row r="248" spans="1:10" x14ac:dyDescent="0.3">
      <c r="A248" s="6" t="s">
        <v>649</v>
      </c>
      <c r="B248" t="s">
        <v>652</v>
      </c>
      <c r="C248" s="7" t="s">
        <v>606</v>
      </c>
      <c r="D248" t="s">
        <v>654</v>
      </c>
      <c r="E248" s="3" t="s">
        <v>653</v>
      </c>
      <c r="F248" s="2" t="str">
        <f t="shared" si="3"/>
        <v>6</v>
      </c>
      <c r="G248" s="8" t="s">
        <v>369</v>
      </c>
      <c r="H248" s="2" t="s">
        <v>12</v>
      </c>
      <c r="I248" s="2" t="s">
        <v>12</v>
      </c>
      <c r="J248" s="2" t="s">
        <v>602</v>
      </c>
    </row>
    <row r="249" spans="1:10" x14ac:dyDescent="0.3">
      <c r="A249" s="6" t="s">
        <v>655</v>
      </c>
      <c r="B249" t="s">
        <v>656</v>
      </c>
      <c r="C249" s="7" t="s">
        <v>606</v>
      </c>
      <c r="D249" t="s">
        <v>654</v>
      </c>
      <c r="E249" s="3" t="s">
        <v>657</v>
      </c>
      <c r="F249" s="2" t="str">
        <f t="shared" si="3"/>
        <v>3</v>
      </c>
      <c r="G249" s="8" t="s">
        <v>369</v>
      </c>
      <c r="H249" s="2" t="s">
        <v>12</v>
      </c>
      <c r="I249" s="2" t="s">
        <v>12</v>
      </c>
      <c r="J249" s="2" t="s">
        <v>602</v>
      </c>
    </row>
    <row r="250" spans="1:10" x14ac:dyDescent="0.3">
      <c r="A250" s="6" t="s">
        <v>658</v>
      </c>
      <c r="B250" t="s">
        <v>659</v>
      </c>
      <c r="C250" s="7" t="s">
        <v>606</v>
      </c>
      <c r="D250" t="s">
        <v>654</v>
      </c>
      <c r="E250" s="3" t="s">
        <v>660</v>
      </c>
      <c r="F250" s="2" t="str">
        <f t="shared" si="3"/>
        <v>9</v>
      </c>
      <c r="G250" s="8" t="s">
        <v>369</v>
      </c>
      <c r="H250" s="2" t="s">
        <v>12</v>
      </c>
      <c r="I250" s="2" t="s">
        <v>12</v>
      </c>
      <c r="J250" s="2" t="s">
        <v>602</v>
      </c>
    </row>
    <row r="251" spans="1:10" x14ac:dyDescent="0.3">
      <c r="A251" s="6" t="s">
        <v>658</v>
      </c>
      <c r="B251" t="s">
        <v>661</v>
      </c>
      <c r="C251" s="7" t="s">
        <v>606</v>
      </c>
      <c r="D251" t="s">
        <v>654</v>
      </c>
      <c r="E251" s="3" t="s">
        <v>662</v>
      </c>
      <c r="F251" s="2" t="str">
        <f t="shared" si="3"/>
        <v>2</v>
      </c>
      <c r="G251" s="8" t="s">
        <v>369</v>
      </c>
      <c r="H251" s="2" t="s">
        <v>12</v>
      </c>
      <c r="I251" s="2" t="s">
        <v>12</v>
      </c>
      <c r="J251" s="2" t="s">
        <v>602</v>
      </c>
    </row>
    <row r="252" spans="1:10" x14ac:dyDescent="0.3">
      <c r="A252" s="6" t="s">
        <v>658</v>
      </c>
      <c r="B252" t="s">
        <v>663</v>
      </c>
      <c r="C252" s="7" t="s">
        <v>606</v>
      </c>
      <c r="D252" t="s">
        <v>654</v>
      </c>
      <c r="E252" s="3" t="s">
        <v>664</v>
      </c>
      <c r="F252" s="2" t="str">
        <f t="shared" si="3"/>
        <v>4</v>
      </c>
      <c r="G252" s="8" t="s">
        <v>369</v>
      </c>
      <c r="H252" s="2" t="s">
        <v>12</v>
      </c>
      <c r="I252" s="2" t="s">
        <v>12</v>
      </c>
      <c r="J252" s="2" t="s">
        <v>602</v>
      </c>
    </row>
    <row r="253" spans="1:10" x14ac:dyDescent="0.3">
      <c r="A253" s="6" t="s">
        <v>665</v>
      </c>
      <c r="B253" t="s">
        <v>666</v>
      </c>
      <c r="C253" s="7" t="s">
        <v>606</v>
      </c>
      <c r="D253" t="s">
        <v>654</v>
      </c>
      <c r="E253" s="3" t="s">
        <v>667</v>
      </c>
      <c r="F253" s="2" t="str">
        <f t="shared" si="3"/>
        <v>1</v>
      </c>
      <c r="G253" s="8" t="s">
        <v>369</v>
      </c>
      <c r="H253" s="2" t="s">
        <v>12</v>
      </c>
      <c r="I253" s="2" t="s">
        <v>12</v>
      </c>
      <c r="J253" s="2" t="s">
        <v>602</v>
      </c>
    </row>
    <row r="254" spans="1:10" x14ac:dyDescent="0.3">
      <c r="A254" s="6" t="s">
        <v>665</v>
      </c>
      <c r="B254" t="s">
        <v>668</v>
      </c>
      <c r="C254" s="7" t="s">
        <v>606</v>
      </c>
      <c r="D254" t="s">
        <v>654</v>
      </c>
      <c r="E254" s="3" t="s">
        <v>669</v>
      </c>
      <c r="F254" s="2" t="str">
        <f t="shared" si="3"/>
        <v>6</v>
      </c>
      <c r="G254" s="8" t="s">
        <v>369</v>
      </c>
      <c r="H254" s="2" t="s">
        <v>12</v>
      </c>
      <c r="I254" s="2" t="s">
        <v>12</v>
      </c>
      <c r="J254" s="2" t="s">
        <v>602</v>
      </c>
    </row>
    <row r="255" spans="1:10" x14ac:dyDescent="0.3">
      <c r="A255" s="6" t="s">
        <v>665</v>
      </c>
      <c r="B255" t="s">
        <v>670</v>
      </c>
      <c r="C255" s="7" t="s">
        <v>606</v>
      </c>
      <c r="D255" t="s">
        <v>654</v>
      </c>
      <c r="E255" s="3" t="s">
        <v>671</v>
      </c>
      <c r="F255" s="2" t="str">
        <f t="shared" si="3"/>
        <v>3</v>
      </c>
      <c r="G255" s="8" t="s">
        <v>369</v>
      </c>
      <c r="H255" s="2" t="s">
        <v>12</v>
      </c>
      <c r="I255" s="2" t="s">
        <v>12</v>
      </c>
      <c r="J255" s="2" t="s">
        <v>602</v>
      </c>
    </row>
    <row r="256" spans="1:10" x14ac:dyDescent="0.3">
      <c r="A256" s="6" t="s">
        <v>672</v>
      </c>
      <c r="B256" t="s">
        <v>673</v>
      </c>
      <c r="C256" s="7" t="s">
        <v>606</v>
      </c>
      <c r="D256" t="s">
        <v>654</v>
      </c>
      <c r="E256" s="3" t="s">
        <v>674</v>
      </c>
      <c r="F256" s="2" t="str">
        <f t="shared" si="3"/>
        <v>5</v>
      </c>
      <c r="G256" s="8" t="s">
        <v>369</v>
      </c>
      <c r="H256" s="2" t="s">
        <v>12</v>
      </c>
      <c r="I256" s="2" t="s">
        <v>12</v>
      </c>
      <c r="J256" s="2" t="s">
        <v>602</v>
      </c>
    </row>
    <row r="257" spans="1:10" x14ac:dyDescent="0.3">
      <c r="A257" s="6" t="s">
        <v>672</v>
      </c>
      <c r="B257" t="s">
        <v>675</v>
      </c>
      <c r="C257" s="7" t="s">
        <v>606</v>
      </c>
      <c r="D257" t="s">
        <v>654</v>
      </c>
      <c r="E257" s="3" t="s">
        <v>676</v>
      </c>
      <c r="F257" s="2" t="str">
        <f t="shared" si="3"/>
        <v>5</v>
      </c>
      <c r="G257" s="8" t="s">
        <v>369</v>
      </c>
      <c r="H257" s="2" t="s">
        <v>12</v>
      </c>
      <c r="I257" s="2" t="s">
        <v>12</v>
      </c>
      <c r="J257" s="2" t="s">
        <v>602</v>
      </c>
    </row>
    <row r="258" spans="1:10" x14ac:dyDescent="0.3">
      <c r="A258" s="6" t="s">
        <v>672</v>
      </c>
      <c r="B258" t="s">
        <v>677</v>
      </c>
      <c r="C258" s="7" t="s">
        <v>606</v>
      </c>
      <c r="D258" t="s">
        <v>654</v>
      </c>
      <c r="E258" s="3" t="s">
        <v>678</v>
      </c>
      <c r="F258" s="2" t="str">
        <f t="shared" si="3"/>
        <v>5</v>
      </c>
      <c r="G258" s="8" t="s">
        <v>369</v>
      </c>
      <c r="H258" s="2" t="s">
        <v>12</v>
      </c>
      <c r="I258" s="2" t="s">
        <v>12</v>
      </c>
      <c r="J258" s="2" t="s">
        <v>602</v>
      </c>
    </row>
    <row r="259" spans="1:10" x14ac:dyDescent="0.3">
      <c r="A259" s="6" t="s">
        <v>672</v>
      </c>
      <c r="B259" t="s">
        <v>679</v>
      </c>
      <c r="C259" s="7" t="s">
        <v>606</v>
      </c>
      <c r="D259" t="s">
        <v>654</v>
      </c>
      <c r="E259" s="3" t="s">
        <v>680</v>
      </c>
      <c r="F259" s="2" t="str">
        <f t="shared" ref="F259:F295" si="4">RIGHT(SUBSTITUTE(SUBSTITUTE(TRIM(E259)," ",""),"-",""),1)</f>
        <v>1</v>
      </c>
      <c r="G259" s="8" t="s">
        <v>369</v>
      </c>
      <c r="H259" s="2" t="s">
        <v>12</v>
      </c>
      <c r="I259" s="2" t="s">
        <v>12</v>
      </c>
      <c r="J259" s="2" t="s">
        <v>602</v>
      </c>
    </row>
    <row r="260" spans="1:10" x14ac:dyDescent="0.3">
      <c r="A260" s="6" t="s">
        <v>672</v>
      </c>
      <c r="B260" t="s">
        <v>681</v>
      </c>
      <c r="C260" s="7" t="s">
        <v>606</v>
      </c>
      <c r="D260" t="s">
        <v>654</v>
      </c>
      <c r="E260" s="3" t="s">
        <v>682</v>
      </c>
      <c r="F260" s="2" t="str">
        <f t="shared" si="4"/>
        <v>4</v>
      </c>
      <c r="G260" s="8" t="s">
        <v>369</v>
      </c>
      <c r="H260" s="2" t="s">
        <v>12</v>
      </c>
      <c r="I260" s="2" t="s">
        <v>12</v>
      </c>
      <c r="J260" s="2" t="s">
        <v>602</v>
      </c>
    </row>
    <row r="261" spans="1:10" x14ac:dyDescent="0.3">
      <c r="A261" s="6" t="s">
        <v>13</v>
      </c>
      <c r="B261" t="s">
        <v>683</v>
      </c>
      <c r="C261" s="7" t="s">
        <v>4</v>
      </c>
      <c r="E261" s="3" t="s">
        <v>684</v>
      </c>
      <c r="F261" s="2" t="str">
        <f t="shared" si="4"/>
        <v>2</v>
      </c>
      <c r="G261" s="8" t="s">
        <v>369</v>
      </c>
      <c r="H261" s="2" t="s">
        <v>12</v>
      </c>
      <c r="I261" s="2" t="s">
        <v>12</v>
      </c>
      <c r="J261" s="2" t="s">
        <v>602</v>
      </c>
    </row>
    <row r="262" spans="1:10" x14ac:dyDescent="0.3">
      <c r="A262" s="6" t="s">
        <v>685</v>
      </c>
      <c r="B262" t="s">
        <v>686</v>
      </c>
      <c r="C262" s="7" t="s">
        <v>4</v>
      </c>
      <c r="E262" s="3" t="s">
        <v>698</v>
      </c>
      <c r="F262" s="2" t="str">
        <f t="shared" si="4"/>
        <v>6</v>
      </c>
      <c r="G262" s="8" t="s">
        <v>369</v>
      </c>
      <c r="H262" s="2" t="s">
        <v>12</v>
      </c>
      <c r="I262" s="2" t="s">
        <v>12</v>
      </c>
      <c r="J262" s="2" t="s">
        <v>602</v>
      </c>
    </row>
    <row r="263" spans="1:10" x14ac:dyDescent="0.3">
      <c r="A263" s="6" t="s">
        <v>629</v>
      </c>
      <c r="B263" t="s">
        <v>687</v>
      </c>
      <c r="C263" s="7" t="s">
        <v>4</v>
      </c>
      <c r="E263" s="3" t="s">
        <v>688</v>
      </c>
      <c r="F263" s="2" t="str">
        <f t="shared" si="4"/>
        <v>2</v>
      </c>
      <c r="G263" s="8" t="s">
        <v>369</v>
      </c>
      <c r="H263" s="2" t="s">
        <v>12</v>
      </c>
      <c r="I263" s="2" t="s">
        <v>12</v>
      </c>
      <c r="J263" s="2" t="s">
        <v>602</v>
      </c>
    </row>
    <row r="264" spans="1:10" x14ac:dyDescent="0.3">
      <c r="A264" s="6" t="s">
        <v>632</v>
      </c>
      <c r="B264" t="s">
        <v>693</v>
      </c>
      <c r="C264" s="7" t="s">
        <v>4</v>
      </c>
      <c r="E264" s="3" t="s">
        <v>694</v>
      </c>
      <c r="F264" s="2" t="str">
        <f t="shared" si="4"/>
        <v>9</v>
      </c>
      <c r="G264" s="8" t="s">
        <v>369</v>
      </c>
      <c r="H264" s="2" t="s">
        <v>12</v>
      </c>
      <c r="I264" s="2" t="s">
        <v>12</v>
      </c>
      <c r="J264" s="2" t="s">
        <v>602</v>
      </c>
    </row>
    <row r="265" spans="1:10" x14ac:dyDescent="0.3">
      <c r="A265" s="6" t="s">
        <v>187</v>
      </c>
      <c r="B265" t="s">
        <v>695</v>
      </c>
      <c r="C265" s="7" t="s">
        <v>606</v>
      </c>
      <c r="D265" t="s">
        <v>696</v>
      </c>
      <c r="E265" s="3" t="s">
        <v>697</v>
      </c>
      <c r="F265" s="2" t="str">
        <f t="shared" si="4"/>
        <v>7</v>
      </c>
      <c r="G265" s="8" t="s">
        <v>369</v>
      </c>
      <c r="H265" s="2" t="s">
        <v>12</v>
      </c>
      <c r="I265" s="2" t="s">
        <v>12</v>
      </c>
      <c r="J265" s="2" t="s">
        <v>602</v>
      </c>
    </row>
    <row r="266" spans="1:10" x14ac:dyDescent="0.3">
      <c r="A266" s="6" t="s">
        <v>702</v>
      </c>
      <c r="B266" t="s">
        <v>699</v>
      </c>
      <c r="C266" s="7" t="s">
        <v>606</v>
      </c>
      <c r="D266" t="s">
        <v>700</v>
      </c>
      <c r="E266" s="3" t="s">
        <v>701</v>
      </c>
      <c r="F266" s="2" t="str">
        <f t="shared" si="4"/>
        <v>4</v>
      </c>
      <c r="G266" s="8" t="s">
        <v>369</v>
      </c>
      <c r="H266" s="2" t="s">
        <v>12</v>
      </c>
      <c r="I266" s="2" t="s">
        <v>12</v>
      </c>
      <c r="J266" s="2" t="s">
        <v>602</v>
      </c>
    </row>
    <row r="267" spans="1:10" x14ac:dyDescent="0.3">
      <c r="A267" s="6" t="s">
        <v>702</v>
      </c>
      <c r="B267" t="s">
        <v>153</v>
      </c>
      <c r="C267" s="7" t="s">
        <v>606</v>
      </c>
      <c r="D267" t="s">
        <v>700</v>
      </c>
      <c r="E267" s="3" t="s">
        <v>705</v>
      </c>
      <c r="F267" s="2" t="str">
        <f t="shared" si="4"/>
        <v>6</v>
      </c>
      <c r="G267" s="8" t="s">
        <v>369</v>
      </c>
      <c r="H267" s="2" t="s">
        <v>12</v>
      </c>
      <c r="I267" s="2" t="s">
        <v>12</v>
      </c>
      <c r="J267" s="2" t="s">
        <v>602</v>
      </c>
    </row>
    <row r="268" spans="1:10" x14ac:dyDescent="0.3">
      <c r="A268" s="6" t="s">
        <v>703</v>
      </c>
      <c r="B268" t="s">
        <v>153</v>
      </c>
      <c r="C268" s="7" t="s">
        <v>606</v>
      </c>
      <c r="D268" t="s">
        <v>700</v>
      </c>
      <c r="E268" s="3" t="s">
        <v>706</v>
      </c>
      <c r="F268" s="2" t="str">
        <f t="shared" si="4"/>
        <v>2</v>
      </c>
      <c r="G268" s="8" t="s">
        <v>369</v>
      </c>
      <c r="H268" s="2" t="s">
        <v>12</v>
      </c>
      <c r="I268" s="2" t="s">
        <v>12</v>
      </c>
      <c r="J268" s="2" t="s">
        <v>602</v>
      </c>
    </row>
    <row r="269" spans="1:10" x14ac:dyDescent="0.3">
      <c r="A269" s="6" t="s">
        <v>704</v>
      </c>
      <c r="B269" t="s">
        <v>153</v>
      </c>
      <c r="C269" s="7" t="s">
        <v>606</v>
      </c>
      <c r="D269" t="s">
        <v>700</v>
      </c>
      <c r="E269" s="3" t="s">
        <v>707</v>
      </c>
      <c r="F269" s="2" t="str">
        <f t="shared" si="4"/>
        <v>5</v>
      </c>
      <c r="G269" s="8" t="s">
        <v>369</v>
      </c>
      <c r="H269" s="2" t="s">
        <v>12</v>
      </c>
      <c r="I269" s="2" t="s">
        <v>12</v>
      </c>
      <c r="J269" s="2" t="s">
        <v>602</v>
      </c>
    </row>
    <row r="270" spans="1:10" x14ac:dyDescent="0.3">
      <c r="A270" s="6" t="s">
        <v>740</v>
      </c>
      <c r="B270" t="s">
        <v>741</v>
      </c>
      <c r="C270" s="7" t="s">
        <v>742</v>
      </c>
      <c r="D270" t="s">
        <v>700</v>
      </c>
      <c r="E270" s="3" t="s">
        <v>743</v>
      </c>
      <c r="F270" s="2" t="str">
        <f t="shared" si="4"/>
        <v>0</v>
      </c>
      <c r="G270" s="8" t="s">
        <v>369</v>
      </c>
      <c r="H270" s="2" t="s">
        <v>12</v>
      </c>
      <c r="I270" s="2" t="s">
        <v>12</v>
      </c>
      <c r="J270" s="2" t="s">
        <v>602</v>
      </c>
    </row>
    <row r="271" spans="1:10" x14ac:dyDescent="0.3">
      <c r="A271" s="6" t="s">
        <v>713</v>
      </c>
      <c r="B271" t="s">
        <v>714</v>
      </c>
      <c r="C271" s="7" t="s">
        <v>726</v>
      </c>
      <c r="D271" t="s">
        <v>727</v>
      </c>
      <c r="E271" s="3" t="s">
        <v>728</v>
      </c>
      <c r="F271" s="2" t="str">
        <f t="shared" si="4"/>
        <v>8</v>
      </c>
      <c r="G271" s="8" t="s">
        <v>369</v>
      </c>
      <c r="H271" s="2" t="s">
        <v>12</v>
      </c>
      <c r="I271" s="2" t="s">
        <v>12</v>
      </c>
      <c r="J271" s="2" t="s">
        <v>602</v>
      </c>
    </row>
    <row r="272" spans="1:10" x14ac:dyDescent="0.3">
      <c r="A272" s="6" t="s">
        <v>713</v>
      </c>
      <c r="B272" t="s">
        <v>715</v>
      </c>
      <c r="C272" s="7" t="s">
        <v>726</v>
      </c>
      <c r="D272" t="s">
        <v>727</v>
      </c>
      <c r="E272" s="3" t="s">
        <v>729</v>
      </c>
      <c r="F272" s="2" t="str">
        <f t="shared" si="4"/>
        <v>3</v>
      </c>
      <c r="G272" s="8" t="s">
        <v>369</v>
      </c>
      <c r="H272" s="2" t="s">
        <v>12</v>
      </c>
      <c r="I272" s="2" t="s">
        <v>12</v>
      </c>
      <c r="J272" s="2" t="s">
        <v>602</v>
      </c>
    </row>
    <row r="273" spans="1:10" x14ac:dyDescent="0.3">
      <c r="A273" s="6" t="s">
        <v>713</v>
      </c>
      <c r="B273" t="s">
        <v>716</v>
      </c>
      <c r="C273" s="7" t="s">
        <v>726</v>
      </c>
      <c r="D273" t="s">
        <v>727</v>
      </c>
      <c r="E273" s="3" t="s">
        <v>730</v>
      </c>
      <c r="F273" s="2" t="str">
        <f t="shared" si="4"/>
        <v>3</v>
      </c>
      <c r="G273" s="8" t="s">
        <v>369</v>
      </c>
      <c r="H273" s="2" t="s">
        <v>12</v>
      </c>
      <c r="I273" s="2" t="s">
        <v>12</v>
      </c>
      <c r="J273" s="2" t="s">
        <v>602</v>
      </c>
    </row>
    <row r="274" spans="1:10" x14ac:dyDescent="0.3">
      <c r="A274" s="6" t="s">
        <v>713</v>
      </c>
      <c r="B274" t="s">
        <v>717</v>
      </c>
      <c r="C274" s="7" t="s">
        <v>726</v>
      </c>
      <c r="D274" t="s">
        <v>727</v>
      </c>
      <c r="E274" s="3" t="s">
        <v>731</v>
      </c>
      <c r="F274" s="2" t="str">
        <f t="shared" si="4"/>
        <v>7</v>
      </c>
      <c r="G274" s="8" t="s">
        <v>369</v>
      </c>
      <c r="H274" s="2" t="s">
        <v>12</v>
      </c>
      <c r="I274" s="2" t="s">
        <v>12</v>
      </c>
      <c r="J274" s="2" t="s">
        <v>602</v>
      </c>
    </row>
    <row r="275" spans="1:10" x14ac:dyDescent="0.3">
      <c r="A275" s="6" t="s">
        <v>713</v>
      </c>
      <c r="B275" t="s">
        <v>718</v>
      </c>
      <c r="C275" s="7" t="s">
        <v>726</v>
      </c>
      <c r="D275" t="s">
        <v>727</v>
      </c>
      <c r="E275" s="3" t="s">
        <v>732</v>
      </c>
      <c r="F275" s="2" t="str">
        <f t="shared" si="4"/>
        <v>8</v>
      </c>
      <c r="G275" s="8" t="s">
        <v>369</v>
      </c>
      <c r="H275" s="2" t="s">
        <v>12</v>
      </c>
      <c r="I275" s="2" t="s">
        <v>12</v>
      </c>
      <c r="J275" s="2" t="s">
        <v>602</v>
      </c>
    </row>
    <row r="276" spans="1:10" x14ac:dyDescent="0.3">
      <c r="A276" s="6" t="s">
        <v>713</v>
      </c>
      <c r="B276" t="s">
        <v>719</v>
      </c>
      <c r="C276" s="7" t="s">
        <v>726</v>
      </c>
      <c r="D276" t="s">
        <v>727</v>
      </c>
      <c r="E276" s="3" t="s">
        <v>733</v>
      </c>
      <c r="F276" s="2" t="str">
        <f t="shared" si="4"/>
        <v>3</v>
      </c>
      <c r="G276" s="8" t="s">
        <v>369</v>
      </c>
      <c r="H276" s="2" t="s">
        <v>12</v>
      </c>
      <c r="I276" s="2" t="s">
        <v>12</v>
      </c>
      <c r="J276" s="2" t="s">
        <v>602</v>
      </c>
    </row>
    <row r="277" spans="1:10" x14ac:dyDescent="0.3">
      <c r="A277" s="6" t="s">
        <v>713</v>
      </c>
      <c r="B277" t="s">
        <v>720</v>
      </c>
      <c r="C277" s="7" t="s">
        <v>726</v>
      </c>
      <c r="D277" t="s">
        <v>727</v>
      </c>
      <c r="E277" s="3" t="s">
        <v>734</v>
      </c>
      <c r="F277" s="2" t="str">
        <f t="shared" si="4"/>
        <v>0</v>
      </c>
      <c r="G277" s="8" t="s">
        <v>369</v>
      </c>
      <c r="H277" s="2" t="s">
        <v>12</v>
      </c>
      <c r="I277" s="2" t="s">
        <v>12</v>
      </c>
      <c r="J277" s="2" t="s">
        <v>602</v>
      </c>
    </row>
    <row r="278" spans="1:10" x14ac:dyDescent="0.3">
      <c r="A278" s="6" t="s">
        <v>713</v>
      </c>
      <c r="B278" t="s">
        <v>721</v>
      </c>
      <c r="C278" s="7" t="s">
        <v>726</v>
      </c>
      <c r="D278" t="s">
        <v>727</v>
      </c>
      <c r="E278" s="3" t="s">
        <v>735</v>
      </c>
      <c r="F278" s="2" t="str">
        <f t="shared" si="4"/>
        <v>0</v>
      </c>
      <c r="G278" s="8" t="s">
        <v>369</v>
      </c>
      <c r="H278" s="2" t="s">
        <v>12</v>
      </c>
      <c r="I278" s="2" t="s">
        <v>12</v>
      </c>
      <c r="J278" s="2" t="s">
        <v>602</v>
      </c>
    </row>
    <row r="279" spans="1:10" x14ac:dyDescent="0.3">
      <c r="A279" s="6" t="s">
        <v>713</v>
      </c>
      <c r="B279" t="s">
        <v>722</v>
      </c>
      <c r="C279" s="7" t="s">
        <v>726</v>
      </c>
      <c r="D279" t="s">
        <v>727</v>
      </c>
      <c r="E279" s="3" t="s">
        <v>736</v>
      </c>
      <c r="F279" s="2" t="str">
        <f t="shared" si="4"/>
        <v>1</v>
      </c>
      <c r="G279" s="8" t="s">
        <v>369</v>
      </c>
      <c r="H279" s="2" t="s">
        <v>12</v>
      </c>
      <c r="I279" s="2" t="s">
        <v>12</v>
      </c>
      <c r="J279" s="2" t="s">
        <v>602</v>
      </c>
    </row>
    <row r="280" spans="1:10" x14ac:dyDescent="0.3">
      <c r="A280" s="6" t="s">
        <v>713</v>
      </c>
      <c r="B280" t="s">
        <v>723</v>
      </c>
      <c r="C280" s="7" t="s">
        <v>726</v>
      </c>
      <c r="D280" t="s">
        <v>727</v>
      </c>
      <c r="E280" s="3" t="s">
        <v>737</v>
      </c>
      <c r="F280" s="2" t="str">
        <f t="shared" si="4"/>
        <v>7</v>
      </c>
      <c r="G280" s="8" t="s">
        <v>369</v>
      </c>
      <c r="H280" s="2" t="s">
        <v>12</v>
      </c>
      <c r="I280" s="2" t="s">
        <v>12</v>
      </c>
      <c r="J280" s="2" t="s">
        <v>602</v>
      </c>
    </row>
    <row r="281" spans="1:10" x14ac:dyDescent="0.3">
      <c r="A281" s="6" t="s">
        <v>713</v>
      </c>
      <c r="B281" t="s">
        <v>724</v>
      </c>
      <c r="C281" s="7" t="s">
        <v>726</v>
      </c>
      <c r="D281" t="s">
        <v>727</v>
      </c>
      <c r="E281" s="3" t="s">
        <v>738</v>
      </c>
      <c r="F281" s="2" t="str">
        <f t="shared" si="4"/>
        <v>9</v>
      </c>
      <c r="G281" s="8" t="s">
        <v>369</v>
      </c>
      <c r="H281" s="2" t="s">
        <v>12</v>
      </c>
      <c r="I281" s="2" t="s">
        <v>12</v>
      </c>
      <c r="J281" s="2" t="s">
        <v>602</v>
      </c>
    </row>
    <row r="282" spans="1:10" x14ac:dyDescent="0.3">
      <c r="A282" s="6" t="s">
        <v>713</v>
      </c>
      <c r="B282" t="s">
        <v>725</v>
      </c>
      <c r="C282" s="7" t="s">
        <v>726</v>
      </c>
      <c r="D282" t="s">
        <v>727</v>
      </c>
      <c r="E282" s="3" t="s">
        <v>739</v>
      </c>
      <c r="F282" s="2" t="str">
        <f t="shared" si="4"/>
        <v>1</v>
      </c>
      <c r="G282" s="8" t="s">
        <v>369</v>
      </c>
      <c r="H282" s="2" t="s">
        <v>12</v>
      </c>
      <c r="I282" s="2" t="s">
        <v>12</v>
      </c>
      <c r="J282" s="2" t="s">
        <v>602</v>
      </c>
    </row>
    <row r="283" spans="1:10" x14ac:dyDescent="0.3">
      <c r="A283" s="6" t="s">
        <v>68</v>
      </c>
      <c r="B283" t="s">
        <v>581</v>
      </c>
      <c r="C283" s="7" t="s">
        <v>582</v>
      </c>
      <c r="D283" t="s">
        <v>583</v>
      </c>
      <c r="E283" s="3" t="s">
        <v>584</v>
      </c>
      <c r="F283" s="2" t="str">
        <f t="shared" si="4"/>
        <v>8</v>
      </c>
      <c r="G283" s="5" t="s">
        <v>591</v>
      </c>
      <c r="H283" s="2" t="s">
        <v>572</v>
      </c>
      <c r="I283" s="2" t="s">
        <v>572</v>
      </c>
      <c r="J283" s="2" t="s">
        <v>602</v>
      </c>
    </row>
    <row r="284" spans="1:10" x14ac:dyDescent="0.3">
      <c r="A284" s="6" t="s">
        <v>68</v>
      </c>
      <c r="B284" t="s">
        <v>585</v>
      </c>
      <c r="C284" s="7" t="s">
        <v>582</v>
      </c>
      <c r="D284" t="s">
        <v>583</v>
      </c>
      <c r="E284" s="3" t="s">
        <v>588</v>
      </c>
      <c r="F284" s="2" t="str">
        <f t="shared" si="4"/>
        <v>0</v>
      </c>
      <c r="G284" s="5" t="s">
        <v>591</v>
      </c>
      <c r="H284" s="2" t="s">
        <v>572</v>
      </c>
      <c r="I284" s="2" t="s">
        <v>572</v>
      </c>
      <c r="J284" s="2" t="s">
        <v>602</v>
      </c>
    </row>
    <row r="285" spans="1:10" x14ac:dyDescent="0.3">
      <c r="A285" s="6" t="s">
        <v>68</v>
      </c>
      <c r="B285" t="s">
        <v>586</v>
      </c>
      <c r="C285" s="7" t="s">
        <v>582</v>
      </c>
      <c r="D285" t="s">
        <v>583</v>
      </c>
      <c r="E285" s="3" t="s">
        <v>589</v>
      </c>
      <c r="F285" s="2" t="str">
        <f t="shared" si="4"/>
        <v>2</v>
      </c>
      <c r="G285" s="5" t="s">
        <v>591</v>
      </c>
      <c r="H285" s="2" t="s">
        <v>572</v>
      </c>
      <c r="I285" s="2" t="s">
        <v>572</v>
      </c>
      <c r="J285" s="2" t="s">
        <v>602</v>
      </c>
    </row>
    <row r="286" spans="1:10" x14ac:dyDescent="0.3">
      <c r="A286" s="6" t="s">
        <v>68</v>
      </c>
      <c r="B286" t="s">
        <v>587</v>
      </c>
      <c r="C286" s="7" t="s">
        <v>582</v>
      </c>
      <c r="D286" t="s">
        <v>583</v>
      </c>
      <c r="E286" s="3" t="s">
        <v>590</v>
      </c>
      <c r="F286" s="2" t="str">
        <f t="shared" si="4"/>
        <v>1</v>
      </c>
      <c r="G286" s="5" t="s">
        <v>591</v>
      </c>
      <c r="H286" s="2" t="s">
        <v>572</v>
      </c>
      <c r="I286" s="2" t="s">
        <v>572</v>
      </c>
      <c r="J286" s="2" t="s">
        <v>602</v>
      </c>
    </row>
    <row r="287" spans="1:10" x14ac:dyDescent="0.3">
      <c r="A287" s="6" t="s">
        <v>689</v>
      </c>
      <c r="B287" t="s">
        <v>690</v>
      </c>
      <c r="C287" s="7" t="s">
        <v>606</v>
      </c>
      <c r="D287" t="s">
        <v>744</v>
      </c>
      <c r="E287" s="3" t="s">
        <v>692</v>
      </c>
      <c r="F287" s="2" t="str">
        <f t="shared" si="4"/>
        <v>9</v>
      </c>
      <c r="G287" s="5" t="s">
        <v>691</v>
      </c>
      <c r="H287" s="2" t="s">
        <v>12</v>
      </c>
      <c r="I287" s="2" t="s">
        <v>12</v>
      </c>
      <c r="J287" s="2" t="s">
        <v>602</v>
      </c>
    </row>
    <row r="288" spans="1:10" x14ac:dyDescent="0.3">
      <c r="A288" s="6" t="s">
        <v>709</v>
      </c>
      <c r="B288" t="s">
        <v>710</v>
      </c>
      <c r="C288" s="7" t="s">
        <v>606</v>
      </c>
      <c r="D288" t="s">
        <v>711</v>
      </c>
      <c r="E288" s="3" t="s">
        <v>712</v>
      </c>
      <c r="F288" s="2" t="str">
        <f t="shared" si="4"/>
        <v>3</v>
      </c>
      <c r="G288" s="5" t="s">
        <v>708</v>
      </c>
      <c r="H288" s="2" t="s">
        <v>12</v>
      </c>
      <c r="I288" s="2" t="s">
        <v>12</v>
      </c>
      <c r="J288" s="2" t="s">
        <v>602</v>
      </c>
    </row>
    <row r="289" spans="1:10" x14ac:dyDescent="0.3">
      <c r="A289" s="6" t="s">
        <v>778</v>
      </c>
      <c r="B289" t="s">
        <v>779</v>
      </c>
      <c r="C289" s="7" t="s">
        <v>4</v>
      </c>
      <c r="E289" s="3" t="s">
        <v>780</v>
      </c>
      <c r="F289" s="2" t="str">
        <f t="shared" si="4"/>
        <v>1</v>
      </c>
      <c r="G289" s="8" t="s">
        <v>369</v>
      </c>
      <c r="H289" s="2" t="s">
        <v>12</v>
      </c>
      <c r="I289" s="2" t="s">
        <v>12</v>
      </c>
      <c r="J289" s="2" t="s">
        <v>602</v>
      </c>
    </row>
    <row r="290" spans="1:10" x14ac:dyDescent="0.3">
      <c r="A290" s="6" t="s">
        <v>58</v>
      </c>
      <c r="B290" t="s">
        <v>781</v>
      </c>
      <c r="C290" s="7" t="s">
        <v>782</v>
      </c>
      <c r="D290" t="s">
        <v>783</v>
      </c>
      <c r="E290" s="3" t="s">
        <v>784</v>
      </c>
      <c r="F290" s="2" t="str">
        <f t="shared" si="4"/>
        <v>4</v>
      </c>
      <c r="G290" s="3" t="s">
        <v>793</v>
      </c>
      <c r="H290" s="2" t="s">
        <v>12</v>
      </c>
      <c r="I290" s="2" t="s">
        <v>12</v>
      </c>
      <c r="J290" s="2" t="s">
        <v>803</v>
      </c>
    </row>
    <row r="291" spans="1:10" x14ac:dyDescent="0.3">
      <c r="A291" s="6" t="s">
        <v>58</v>
      </c>
      <c r="B291" t="s">
        <v>786</v>
      </c>
      <c r="C291" s="7" t="s">
        <v>782</v>
      </c>
      <c r="D291" t="s">
        <v>783</v>
      </c>
      <c r="E291" s="3" t="s">
        <v>785</v>
      </c>
      <c r="F291" s="2" t="str">
        <f t="shared" si="4"/>
        <v>0</v>
      </c>
      <c r="G291" s="3" t="s">
        <v>793</v>
      </c>
      <c r="H291" s="2" t="s">
        <v>12</v>
      </c>
      <c r="I291" s="2" t="s">
        <v>12</v>
      </c>
      <c r="J291" s="2" t="s">
        <v>803</v>
      </c>
    </row>
    <row r="292" spans="1:10" x14ac:dyDescent="0.3">
      <c r="A292" s="6" t="s">
        <v>58</v>
      </c>
      <c r="B292" t="s">
        <v>787</v>
      </c>
      <c r="C292" s="7" t="s">
        <v>782</v>
      </c>
      <c r="D292" t="s">
        <v>783</v>
      </c>
      <c r="E292" s="3" t="s">
        <v>790</v>
      </c>
      <c r="F292" s="2" t="str">
        <f t="shared" si="4"/>
        <v>0</v>
      </c>
      <c r="G292" s="3" t="s">
        <v>793</v>
      </c>
      <c r="H292" s="2" t="s">
        <v>12</v>
      </c>
      <c r="I292" s="2" t="s">
        <v>12</v>
      </c>
      <c r="J292" s="2" t="s">
        <v>803</v>
      </c>
    </row>
    <row r="293" spans="1:10" x14ac:dyDescent="0.3">
      <c r="A293" s="6" t="s">
        <v>58</v>
      </c>
      <c r="B293" t="s">
        <v>788</v>
      </c>
      <c r="C293" s="7" t="s">
        <v>782</v>
      </c>
      <c r="D293" t="s">
        <v>783</v>
      </c>
      <c r="E293" s="3" t="s">
        <v>791</v>
      </c>
      <c r="F293" s="2" t="str">
        <f t="shared" si="4"/>
        <v>4</v>
      </c>
      <c r="G293" s="3" t="s">
        <v>793</v>
      </c>
      <c r="H293" s="2" t="s">
        <v>12</v>
      </c>
      <c r="I293" s="2" t="s">
        <v>12</v>
      </c>
      <c r="J293" s="2" t="s">
        <v>803</v>
      </c>
    </row>
    <row r="294" spans="1:10" x14ac:dyDescent="0.3">
      <c r="A294" s="6" t="s">
        <v>58</v>
      </c>
      <c r="B294" t="s">
        <v>789</v>
      </c>
      <c r="C294" s="7" t="s">
        <v>782</v>
      </c>
      <c r="D294" t="s">
        <v>783</v>
      </c>
      <c r="E294" s="3" t="s">
        <v>792</v>
      </c>
      <c r="F294" s="2" t="str">
        <f t="shared" si="4"/>
        <v>1</v>
      </c>
      <c r="G294" s="3" t="s">
        <v>793</v>
      </c>
      <c r="H294" s="2" t="s">
        <v>12</v>
      </c>
      <c r="I294" s="2" t="s">
        <v>12</v>
      </c>
      <c r="J294" s="2" t="s">
        <v>803</v>
      </c>
    </row>
    <row r="295" spans="1:10" x14ac:dyDescent="0.3">
      <c r="A295" s="6" t="s">
        <v>794</v>
      </c>
      <c r="B295" t="s">
        <v>795</v>
      </c>
      <c r="C295" s="7" t="s">
        <v>782</v>
      </c>
      <c r="D295" t="s">
        <v>607</v>
      </c>
      <c r="E295" s="3" t="s">
        <v>802</v>
      </c>
      <c r="F295" s="2" t="str">
        <f t="shared" si="4"/>
        <v>2</v>
      </c>
      <c r="G295" s="8" t="s">
        <v>369</v>
      </c>
      <c r="H295" s="2" t="s">
        <v>12</v>
      </c>
      <c r="I295" s="2" t="s">
        <v>12</v>
      </c>
      <c r="J295" s="2" t="s">
        <v>803</v>
      </c>
    </row>
    <row r="296" spans="1:10" x14ac:dyDescent="0.3">
      <c r="A296" s="6" t="s">
        <v>794</v>
      </c>
      <c r="B296" t="s">
        <v>796</v>
      </c>
      <c r="C296" s="7" t="s">
        <v>782</v>
      </c>
      <c r="D296" t="s">
        <v>607</v>
      </c>
      <c r="E296" s="3" t="s">
        <v>801</v>
      </c>
      <c r="G296" s="8" t="s">
        <v>369</v>
      </c>
      <c r="H296" s="2" t="s">
        <v>12</v>
      </c>
      <c r="I296" s="2" t="s">
        <v>12</v>
      </c>
      <c r="J296" s="2" t="s">
        <v>803</v>
      </c>
    </row>
    <row r="297" spans="1:10" x14ac:dyDescent="0.3">
      <c r="A297" s="6" t="s">
        <v>794</v>
      </c>
      <c r="B297" t="s">
        <v>797</v>
      </c>
      <c r="C297" s="7" t="s">
        <v>782</v>
      </c>
      <c r="D297" t="s">
        <v>607</v>
      </c>
      <c r="E297" s="3" t="s">
        <v>800</v>
      </c>
      <c r="G297" s="8" t="s">
        <v>369</v>
      </c>
      <c r="H297" s="2" t="s">
        <v>12</v>
      </c>
      <c r="I297" s="2" t="s">
        <v>12</v>
      </c>
      <c r="J297" s="2" t="s">
        <v>803</v>
      </c>
    </row>
    <row r="298" spans="1:10" x14ac:dyDescent="0.3">
      <c r="A298" s="6" t="s">
        <v>794</v>
      </c>
      <c r="B298" t="s">
        <v>798</v>
      </c>
      <c r="C298" s="7" t="s">
        <v>782</v>
      </c>
      <c r="D298" t="s">
        <v>607</v>
      </c>
      <c r="E298" s="3" t="s">
        <v>799</v>
      </c>
      <c r="G298" s="8" t="s">
        <v>369</v>
      </c>
      <c r="H298" s="2" t="s">
        <v>12</v>
      </c>
      <c r="I298" s="2" t="s">
        <v>12</v>
      </c>
      <c r="J298" s="2" t="s">
        <v>803</v>
      </c>
    </row>
    <row r="299" spans="1:10" x14ac:dyDescent="0.3">
      <c r="A299" s="6" t="s">
        <v>804</v>
      </c>
      <c r="B299" t="s">
        <v>805</v>
      </c>
      <c r="C299" s="7" t="s">
        <v>4</v>
      </c>
      <c r="E299" s="3" t="s">
        <v>806</v>
      </c>
      <c r="G299" s="8" t="s">
        <v>369</v>
      </c>
      <c r="H299" s="2" t="s">
        <v>12</v>
      </c>
      <c r="I299" s="2" t="s">
        <v>12</v>
      </c>
      <c r="J299" s="2" t="s">
        <v>803</v>
      </c>
    </row>
    <row r="300" spans="1:10" x14ac:dyDescent="0.3">
      <c r="A300" s="6" t="s">
        <v>807</v>
      </c>
      <c r="B300" t="s">
        <v>808</v>
      </c>
      <c r="C300" s="7" t="s">
        <v>782</v>
      </c>
      <c r="D300" t="s">
        <v>169</v>
      </c>
      <c r="E300" s="3" t="s">
        <v>809</v>
      </c>
      <c r="G300" s="8" t="s">
        <v>810</v>
      </c>
      <c r="H300" s="2" t="s">
        <v>12</v>
      </c>
      <c r="I300" s="2" t="s">
        <v>12</v>
      </c>
      <c r="J300" s="2" t="s">
        <v>803</v>
      </c>
    </row>
    <row r="301" spans="1:10" x14ac:dyDescent="0.3">
      <c r="A301" s="6" t="s">
        <v>811</v>
      </c>
      <c r="B301" t="s">
        <v>812</v>
      </c>
      <c r="C301" s="7" t="s">
        <v>4</v>
      </c>
      <c r="E301" s="3" t="s">
        <v>813</v>
      </c>
      <c r="G301" s="8" t="s">
        <v>369</v>
      </c>
      <c r="H301" s="2" t="s">
        <v>12</v>
      </c>
      <c r="I301" s="2" t="s">
        <v>12</v>
      </c>
      <c r="J301" s="2" t="s">
        <v>803</v>
      </c>
    </row>
    <row r="302" spans="1:10" x14ac:dyDescent="0.3">
      <c r="A302" s="6" t="s">
        <v>814</v>
      </c>
      <c r="B302" t="s">
        <v>815</v>
      </c>
      <c r="C302" s="7" t="s">
        <v>29</v>
      </c>
      <c r="E302" s="3" t="s">
        <v>816</v>
      </c>
      <c r="G302" s="8" t="s">
        <v>369</v>
      </c>
      <c r="H302" s="2" t="s">
        <v>12</v>
      </c>
      <c r="I302" s="2" t="s">
        <v>12</v>
      </c>
      <c r="J302" s="2" t="s">
        <v>803</v>
      </c>
    </row>
    <row r="303" spans="1:10" x14ac:dyDescent="0.3">
      <c r="A303" s="6" t="s">
        <v>8</v>
      </c>
      <c r="B303" t="s">
        <v>817</v>
      </c>
      <c r="C303" s="7" t="s">
        <v>782</v>
      </c>
      <c r="D303" t="s">
        <v>818</v>
      </c>
      <c r="E303" s="3" t="s">
        <v>819</v>
      </c>
      <c r="G303" s="8" t="s">
        <v>369</v>
      </c>
      <c r="H303" s="2" t="s">
        <v>12</v>
      </c>
      <c r="I303" s="2" t="s">
        <v>12</v>
      </c>
      <c r="J303" s="2" t="s">
        <v>803</v>
      </c>
    </row>
    <row r="304" spans="1:10" x14ac:dyDescent="0.3">
      <c r="A304" s="6" t="s">
        <v>145</v>
      </c>
      <c r="B304" t="s">
        <v>821</v>
      </c>
      <c r="C304" s="7" t="s">
        <v>29</v>
      </c>
      <c r="E304" s="3" t="s">
        <v>820</v>
      </c>
      <c r="G304" s="8" t="s">
        <v>369</v>
      </c>
      <c r="H304" s="2" t="s">
        <v>12</v>
      </c>
      <c r="I304" s="2" t="s">
        <v>12</v>
      </c>
      <c r="J304" s="2" t="s">
        <v>803</v>
      </c>
    </row>
    <row r="305" spans="1:10" x14ac:dyDescent="0.3">
      <c r="A305" s="6" t="s">
        <v>13</v>
      </c>
      <c r="B305" t="s">
        <v>822</v>
      </c>
      <c r="C305" s="7" t="s">
        <v>4</v>
      </c>
      <c r="E305" s="3" t="s">
        <v>823</v>
      </c>
      <c r="G305" s="8" t="s">
        <v>369</v>
      </c>
      <c r="H305" s="2" t="s">
        <v>12</v>
      </c>
      <c r="I305" s="2" t="s">
        <v>12</v>
      </c>
      <c r="J305" s="2" t="s">
        <v>803</v>
      </c>
    </row>
    <row r="306" spans="1:10" x14ac:dyDescent="0.3">
      <c r="A306" s="6" t="s">
        <v>13</v>
      </c>
      <c r="B306" t="s">
        <v>822</v>
      </c>
      <c r="C306" s="7" t="s">
        <v>4</v>
      </c>
      <c r="E306" s="3" t="s">
        <v>824</v>
      </c>
      <c r="G306" s="8" t="s">
        <v>369</v>
      </c>
      <c r="H306" s="2" t="s">
        <v>12</v>
      </c>
      <c r="I306" s="2" t="s">
        <v>12</v>
      </c>
      <c r="J306" s="2" t="s">
        <v>803</v>
      </c>
    </row>
    <row r="307" spans="1:10" x14ac:dyDescent="0.3">
      <c r="A307" s="6" t="s">
        <v>825</v>
      </c>
      <c r="B307" t="s">
        <v>826</v>
      </c>
      <c r="C307" s="7" t="s">
        <v>4</v>
      </c>
      <c r="E307" s="3" t="s">
        <v>827</v>
      </c>
      <c r="G307" s="8" t="s">
        <v>369</v>
      </c>
      <c r="H307" s="2" t="s">
        <v>12</v>
      </c>
      <c r="I307" s="2" t="s">
        <v>12</v>
      </c>
      <c r="J307" s="2" t="s">
        <v>803</v>
      </c>
    </row>
  </sheetData>
  <autoFilter ref="A1:J1" xr:uid="{4BB3BE12-A020-4B69-B56B-4DE540AE3E63}">
    <sortState ref="A2:J288">
      <sortCondition ref="G1"/>
    </sortState>
  </autoFilter>
  <phoneticPr fontId="1" type="noConversion"/>
  <conditionalFormatting sqref="E2:E119">
    <cfRule type="expression" dxfId="107" priority="45">
      <formula>COUNTIF(#REF!, E2) &gt; 0</formula>
    </cfRule>
  </conditionalFormatting>
  <conditionalFormatting sqref="B131:B134 B120:B129 B136:B143">
    <cfRule type="duplicateValues" dxfId="106" priority="42"/>
  </conditionalFormatting>
  <conditionalFormatting sqref="B130">
    <cfRule type="duplicateValues" dxfId="105" priority="41"/>
  </conditionalFormatting>
  <conditionalFormatting sqref="B136:B143 B120:B134">
    <cfRule type="duplicateValues" dxfId="104" priority="40"/>
  </conditionalFormatting>
  <conditionalFormatting sqref="B135">
    <cfRule type="duplicateValues" dxfId="103" priority="39"/>
  </conditionalFormatting>
  <conditionalFormatting sqref="B135">
    <cfRule type="duplicateValues" dxfId="102" priority="38"/>
  </conditionalFormatting>
  <conditionalFormatting sqref="E148:E154">
    <cfRule type="duplicateValues" dxfId="101" priority="34"/>
  </conditionalFormatting>
  <conditionalFormatting sqref="B148">
    <cfRule type="duplicateValues" dxfId="100" priority="33"/>
  </conditionalFormatting>
  <conditionalFormatting sqref="E148:E154">
    <cfRule type="expression" dxfId="99" priority="35">
      <formula>COUNTIF(#REF!, E148) &gt; 0</formula>
    </cfRule>
  </conditionalFormatting>
  <conditionalFormatting sqref="B144:B147 B163">
    <cfRule type="duplicateValues" dxfId="98" priority="36"/>
  </conditionalFormatting>
  <conditionalFormatting sqref="B153:B167 B1:B148 B169:B170 B172:B185 B187:B188 B192:B193 B195:B207 B209:B215 B217:B241 B243:B305 B307:B1048576">
    <cfRule type="duplicateValues" dxfId="97" priority="32"/>
  </conditionalFormatting>
  <conditionalFormatting sqref="B149:B152">
    <cfRule type="duplicateValues" dxfId="96" priority="29"/>
  </conditionalFormatting>
  <conditionalFormatting sqref="B149:B152">
    <cfRule type="duplicateValues" dxfId="95" priority="30"/>
  </conditionalFormatting>
  <conditionalFormatting sqref="B149:B152">
    <cfRule type="duplicateValues" dxfId="94" priority="31"/>
  </conditionalFormatting>
  <conditionalFormatting sqref="B168">
    <cfRule type="duplicateValues" dxfId="93" priority="28"/>
  </conditionalFormatting>
  <conditionalFormatting sqref="B168">
    <cfRule type="duplicateValues" dxfId="92" priority="27"/>
  </conditionalFormatting>
  <conditionalFormatting sqref="B172:B185 B1:B170 B187:B188 B192:B193 B195:B207 B209:B215 B217:B241 B243:B305 B307:B1048576">
    <cfRule type="duplicateValues" dxfId="91" priority="26"/>
  </conditionalFormatting>
  <conditionalFormatting sqref="E1:E188 E192:E1048576">
    <cfRule type="duplicateValues" dxfId="90" priority="22"/>
    <cfRule type="duplicateValues" dxfId="89" priority="25"/>
  </conditionalFormatting>
  <conditionalFormatting sqref="B171">
    <cfRule type="duplicateValues" dxfId="88" priority="24"/>
  </conditionalFormatting>
  <conditionalFormatting sqref="B171">
    <cfRule type="duplicateValues" dxfId="87" priority="23"/>
  </conditionalFormatting>
  <conditionalFormatting sqref="E1:E119">
    <cfRule type="duplicateValues" dxfId="86" priority="64"/>
  </conditionalFormatting>
  <conditionalFormatting sqref="B1:B119">
    <cfRule type="duplicateValues" dxfId="85" priority="66"/>
  </conditionalFormatting>
  <conditionalFormatting sqref="B186">
    <cfRule type="duplicateValues" dxfId="84" priority="21"/>
  </conditionalFormatting>
  <conditionalFormatting sqref="B186">
    <cfRule type="duplicateValues" dxfId="83" priority="20"/>
  </conditionalFormatting>
  <conditionalFormatting sqref="B189 B191">
    <cfRule type="duplicateValues" dxfId="82" priority="19"/>
  </conditionalFormatting>
  <conditionalFormatting sqref="B189 B191">
    <cfRule type="duplicateValues" dxfId="81" priority="18"/>
  </conditionalFormatting>
  <conditionalFormatting sqref="E189 E191">
    <cfRule type="duplicateValues" dxfId="80" priority="16"/>
    <cfRule type="duplicateValues" dxfId="79" priority="17"/>
  </conditionalFormatting>
  <conditionalFormatting sqref="B190">
    <cfRule type="duplicateValues" dxfId="78" priority="15"/>
  </conditionalFormatting>
  <conditionalFormatting sqref="B190">
    <cfRule type="duplicateValues" dxfId="77" priority="14"/>
  </conditionalFormatting>
  <conditionalFormatting sqref="E190">
    <cfRule type="duplicateValues" dxfId="76" priority="12"/>
    <cfRule type="duplicateValues" dxfId="75" priority="13"/>
  </conditionalFormatting>
  <conditionalFormatting sqref="B194">
    <cfRule type="duplicateValues" dxfId="74" priority="11"/>
  </conditionalFormatting>
  <conditionalFormatting sqref="B194">
    <cfRule type="duplicateValues" dxfId="73" priority="10"/>
  </conditionalFormatting>
  <conditionalFormatting sqref="B208">
    <cfRule type="duplicateValues" dxfId="72" priority="9"/>
  </conditionalFormatting>
  <conditionalFormatting sqref="B208">
    <cfRule type="duplicateValues" dxfId="71" priority="8"/>
  </conditionalFormatting>
  <conditionalFormatting sqref="E1:E1048576">
    <cfRule type="duplicateValues" dxfId="70" priority="7"/>
  </conditionalFormatting>
  <conditionalFormatting sqref="B216">
    <cfRule type="duplicateValues" dxfId="69" priority="6"/>
  </conditionalFormatting>
  <conditionalFormatting sqref="B216">
    <cfRule type="duplicateValues" dxfId="68" priority="5"/>
  </conditionalFormatting>
  <conditionalFormatting sqref="B242">
    <cfRule type="duplicateValues" dxfId="67" priority="4"/>
  </conditionalFormatting>
  <conditionalFormatting sqref="B242">
    <cfRule type="duplicateValues" dxfId="66" priority="3"/>
  </conditionalFormatting>
  <conditionalFormatting sqref="B306">
    <cfRule type="duplicateValues" dxfId="1" priority="2"/>
  </conditionalFormatting>
  <conditionalFormatting sqref="B30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6CE78-88CA-456B-930F-254E1F4D1A0D}">
  <dimension ref="A1:J193"/>
  <sheetViews>
    <sheetView workbookViewId="0">
      <selection activeCell="E12" sqref="E12"/>
    </sheetView>
  </sheetViews>
  <sheetFormatPr defaultRowHeight="16.5" x14ac:dyDescent="0.3"/>
  <cols>
    <col min="1" max="1" width="5.25" bestFit="1" customWidth="1"/>
    <col min="2" max="2" width="7.125" bestFit="1" customWidth="1"/>
    <col min="6" max="6" width="7.125" bestFit="1" customWidth="1"/>
    <col min="7" max="7" width="5.25" bestFit="1" customWidth="1"/>
    <col min="8" max="8" width="7.125" bestFit="1" customWidth="1"/>
    <col min="10" max="10" width="9.625" bestFit="1" customWidth="1"/>
  </cols>
  <sheetData>
    <row r="1" spans="1:10" x14ac:dyDescent="0.3">
      <c r="A1" s="2" t="s">
        <v>3</v>
      </c>
      <c r="B1" s="2" t="s">
        <v>0</v>
      </c>
      <c r="C1" s="2" t="s">
        <v>1</v>
      </c>
      <c r="D1" s="2" t="s">
        <v>82</v>
      </c>
      <c r="E1" s="4" t="s">
        <v>2</v>
      </c>
      <c r="F1" s="2" t="s">
        <v>367</v>
      </c>
      <c r="G1" s="4" t="s">
        <v>368</v>
      </c>
      <c r="H1" s="2" t="s">
        <v>10</v>
      </c>
      <c r="I1" s="2" t="s">
        <v>11</v>
      </c>
      <c r="J1" s="2" t="s">
        <v>240</v>
      </c>
    </row>
    <row r="190" s="6" customFormat="1" x14ac:dyDescent="0.3"/>
    <row r="191" s="6" customFormat="1" x14ac:dyDescent="0.3"/>
    <row r="192" s="6" customFormat="1" x14ac:dyDescent="0.3"/>
    <row r="193" s="6" customFormat="1" x14ac:dyDescent="0.3"/>
  </sheetData>
  <phoneticPr fontId="1" type="noConversion"/>
  <conditionalFormatting sqref="B1">
    <cfRule type="duplicateValues" dxfId="8" priority="5"/>
  </conditionalFormatting>
  <conditionalFormatting sqref="B1">
    <cfRule type="duplicateValues" dxfId="7" priority="4"/>
  </conditionalFormatting>
  <conditionalFormatting sqref="E1">
    <cfRule type="duplicateValues" dxfId="6" priority="2"/>
    <cfRule type="duplicateValues" dxfId="5" priority="3"/>
  </conditionalFormatting>
  <conditionalFormatting sqref="E1">
    <cfRule type="duplicateValues" dxfId="4" priority="6"/>
  </conditionalFormatting>
  <conditionalFormatting sqref="B1">
    <cfRule type="duplicateValues" dxfId="3" priority="7"/>
  </conditionalFormatting>
  <conditionalFormatting sqref="E1">
    <cfRule type="duplicateValues" dxfId="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CBAE3-68A3-4014-A86F-877D79F0EC33}">
  <dimension ref="A1:J288"/>
  <sheetViews>
    <sheetView topLeftCell="A7" zoomScale="85" zoomScaleNormal="85" workbookViewId="0">
      <selection activeCell="D26" sqref="D26"/>
    </sheetView>
  </sheetViews>
  <sheetFormatPr defaultRowHeight="16.5" x14ac:dyDescent="0.3"/>
  <cols>
    <col min="1" max="1" width="31.125" bestFit="1" customWidth="1"/>
    <col min="2" max="2" width="14.375" bestFit="1" customWidth="1"/>
    <col min="3" max="3" width="17.875" bestFit="1" customWidth="1"/>
    <col min="4" max="4" width="28.25" bestFit="1" customWidth="1"/>
    <col min="5" max="5" width="10.75" bestFit="1" customWidth="1"/>
    <col min="6" max="6" width="2.75" bestFit="1" customWidth="1"/>
    <col min="7" max="7" width="22.875" bestFit="1" customWidth="1"/>
    <col min="8" max="9" width="3.5" bestFit="1" customWidth="1"/>
    <col min="10" max="10" width="11.5" bestFit="1" customWidth="1"/>
  </cols>
  <sheetData>
    <row r="1" spans="1:10" x14ac:dyDescent="0.3">
      <c r="A1" s="2" t="s">
        <v>3</v>
      </c>
      <c r="B1" s="2" t="s">
        <v>0</v>
      </c>
      <c r="C1" s="2" t="s">
        <v>1</v>
      </c>
      <c r="D1" s="2" t="s">
        <v>82</v>
      </c>
      <c r="E1" s="4" t="s">
        <v>2</v>
      </c>
      <c r="F1" s="2" t="s">
        <v>367</v>
      </c>
      <c r="G1" s="4" t="s">
        <v>368</v>
      </c>
      <c r="H1" s="2" t="s">
        <v>10</v>
      </c>
      <c r="I1" s="2" t="s">
        <v>11</v>
      </c>
      <c r="J1" s="2" t="s">
        <v>240</v>
      </c>
    </row>
    <row r="2" spans="1:10" x14ac:dyDescent="0.3">
      <c r="A2" t="s">
        <v>68</v>
      </c>
      <c r="B2" s="1" t="s">
        <v>370</v>
      </c>
      <c r="C2" s="1" t="s">
        <v>26</v>
      </c>
      <c r="D2" t="s">
        <v>423</v>
      </c>
      <c r="E2" s="3" t="s">
        <v>372</v>
      </c>
      <c r="F2" s="2" t="str">
        <f>RIGHT(SUBSTITUTE(SUBSTITUTE(TRIM(E2)," ",""),"-",""),1)</f>
        <v>6</v>
      </c>
      <c r="G2" s="5" t="s">
        <v>373</v>
      </c>
      <c r="H2" s="2" t="s">
        <v>12</v>
      </c>
      <c r="I2" s="2" t="s">
        <v>12</v>
      </c>
      <c r="J2" s="2" t="s">
        <v>356</v>
      </c>
    </row>
    <row r="3" spans="1:10" x14ac:dyDescent="0.3">
      <c r="A3" s="6" t="s">
        <v>13</v>
      </c>
      <c r="B3" t="s">
        <v>539</v>
      </c>
      <c r="C3" s="7" t="s">
        <v>541</v>
      </c>
      <c r="E3" s="3" t="s">
        <v>540</v>
      </c>
      <c r="F3" s="2" t="str">
        <f t="shared" ref="F3:F66" si="0">RIGHT(SUBSTITUTE(SUBSTITUTE(TRIM(E3)," ",""),"-",""),1)</f>
        <v>1</v>
      </c>
      <c r="G3" s="5" t="s">
        <v>542</v>
      </c>
      <c r="H3" s="2" t="s">
        <v>12</v>
      </c>
      <c r="I3" s="2" t="s">
        <v>12</v>
      </c>
      <c r="J3" s="9" t="s">
        <v>508</v>
      </c>
    </row>
    <row r="4" spans="1:10" x14ac:dyDescent="0.3">
      <c r="A4" t="s">
        <v>78</v>
      </c>
      <c r="B4" s="1" t="s">
        <v>137</v>
      </c>
      <c r="C4" s="1" t="s">
        <v>26</v>
      </c>
      <c r="D4" s="1" t="s">
        <v>81</v>
      </c>
      <c r="E4" s="3" t="s">
        <v>138</v>
      </c>
      <c r="F4" s="2" t="str">
        <f t="shared" si="0"/>
        <v>5</v>
      </c>
      <c r="G4" s="3" t="s">
        <v>369</v>
      </c>
      <c r="H4" s="2" t="s">
        <v>12</v>
      </c>
      <c r="I4" s="2" t="s">
        <v>12</v>
      </c>
      <c r="J4" s="2" t="s">
        <v>426</v>
      </c>
    </row>
    <row r="5" spans="1:10" x14ac:dyDescent="0.3">
      <c r="A5" t="s">
        <v>78</v>
      </c>
      <c r="B5" s="1" t="s">
        <v>135</v>
      </c>
      <c r="C5" s="1" t="s">
        <v>26</v>
      </c>
      <c r="D5" s="1" t="s">
        <v>81</v>
      </c>
      <c r="E5" s="3" t="s">
        <v>136</v>
      </c>
      <c r="F5" s="2" t="str">
        <f t="shared" si="0"/>
        <v>4</v>
      </c>
      <c r="G5" s="3" t="s">
        <v>369</v>
      </c>
      <c r="H5" s="2" t="s">
        <v>12</v>
      </c>
      <c r="I5" s="2" t="s">
        <v>12</v>
      </c>
      <c r="J5" s="2" t="s">
        <v>426</v>
      </c>
    </row>
    <row r="6" spans="1:10" x14ac:dyDescent="0.3">
      <c r="A6" t="s">
        <v>78</v>
      </c>
      <c r="B6" s="1" t="s">
        <v>90</v>
      </c>
      <c r="C6" s="1" t="s">
        <v>26</v>
      </c>
      <c r="D6" s="1" t="s">
        <v>81</v>
      </c>
      <c r="E6" s="3" t="s">
        <v>91</v>
      </c>
      <c r="F6" s="2" t="str">
        <f t="shared" si="0"/>
        <v>3</v>
      </c>
      <c r="G6" s="3" t="s">
        <v>369</v>
      </c>
      <c r="H6" s="2" t="s">
        <v>12</v>
      </c>
      <c r="I6" s="2" t="s">
        <v>12</v>
      </c>
      <c r="J6" s="2" t="s">
        <v>426</v>
      </c>
    </row>
    <row r="7" spans="1:10" x14ac:dyDescent="0.3">
      <c r="A7" t="s">
        <v>78</v>
      </c>
      <c r="B7" s="1" t="s">
        <v>131</v>
      </c>
      <c r="C7" s="1" t="s">
        <v>26</v>
      </c>
      <c r="D7" s="1" t="s">
        <v>81</v>
      </c>
      <c r="E7" s="3" t="s">
        <v>132</v>
      </c>
      <c r="F7" s="2" t="str">
        <f t="shared" si="0"/>
        <v>0</v>
      </c>
      <c r="G7" s="3" t="s">
        <v>369</v>
      </c>
      <c r="H7" s="2" t="s">
        <v>12</v>
      </c>
      <c r="I7" s="2" t="s">
        <v>12</v>
      </c>
      <c r="J7" s="2" t="s">
        <v>356</v>
      </c>
    </row>
    <row r="8" spans="1:10" x14ac:dyDescent="0.3">
      <c r="A8" t="s">
        <v>78</v>
      </c>
      <c r="B8" s="1" t="s">
        <v>83</v>
      </c>
      <c r="C8" s="1" t="s">
        <v>26</v>
      </c>
      <c r="D8" s="1" t="s">
        <v>81</v>
      </c>
      <c r="E8" s="3" t="s">
        <v>84</v>
      </c>
      <c r="F8" s="2" t="str">
        <f t="shared" si="0"/>
        <v>7</v>
      </c>
      <c r="G8" s="3" t="s">
        <v>369</v>
      </c>
      <c r="H8" s="2" t="s">
        <v>12</v>
      </c>
      <c r="I8" s="2" t="s">
        <v>12</v>
      </c>
      <c r="J8" s="2" t="s">
        <v>426</v>
      </c>
    </row>
    <row r="9" spans="1:10" x14ac:dyDescent="0.3">
      <c r="A9" t="s">
        <v>78</v>
      </c>
      <c r="B9" s="1" t="s">
        <v>79</v>
      </c>
      <c r="C9" s="1" t="s">
        <v>26</v>
      </c>
      <c r="D9" s="1" t="s">
        <v>81</v>
      </c>
      <c r="E9" s="3" t="s">
        <v>80</v>
      </c>
      <c r="F9" s="2" t="str">
        <f t="shared" si="0"/>
        <v>3</v>
      </c>
      <c r="G9" s="3" t="s">
        <v>369</v>
      </c>
      <c r="H9" s="2" t="s">
        <v>12</v>
      </c>
      <c r="I9" s="2" t="s">
        <v>12</v>
      </c>
      <c r="J9" s="2" t="s">
        <v>426</v>
      </c>
    </row>
    <row r="10" spans="1:10" x14ac:dyDescent="0.3">
      <c r="A10" t="s">
        <v>187</v>
      </c>
      <c r="B10" s="1" t="s">
        <v>199</v>
      </c>
      <c r="C10" s="1" t="s">
        <v>26</v>
      </c>
      <c r="D10" s="1" t="s">
        <v>169</v>
      </c>
      <c r="E10" s="3" t="s">
        <v>200</v>
      </c>
      <c r="F10" s="2" t="str">
        <f t="shared" si="0"/>
        <v>1</v>
      </c>
      <c r="G10" s="3" t="s">
        <v>369</v>
      </c>
      <c r="H10" s="2" t="s">
        <v>12</v>
      </c>
      <c r="I10" s="2" t="s">
        <v>12</v>
      </c>
      <c r="J10" s="2" t="s">
        <v>426</v>
      </c>
    </row>
    <row r="11" spans="1:10" x14ac:dyDescent="0.3">
      <c r="A11" t="s">
        <v>92</v>
      </c>
      <c r="B11" s="1" t="s">
        <v>198</v>
      </c>
      <c r="C11" s="1" t="s">
        <v>26</v>
      </c>
      <c r="D11" s="1" t="s">
        <v>169</v>
      </c>
      <c r="E11" s="3" t="s">
        <v>456</v>
      </c>
      <c r="F11" s="2" t="str">
        <f t="shared" si="0"/>
        <v>9</v>
      </c>
      <c r="G11" s="3" t="s">
        <v>369</v>
      </c>
      <c r="H11" s="2" t="s">
        <v>12</v>
      </c>
      <c r="I11" s="2" t="s">
        <v>12</v>
      </c>
      <c r="J11" s="2" t="s">
        <v>426</v>
      </c>
    </row>
    <row r="12" spans="1:10" x14ac:dyDescent="0.3">
      <c r="A12" t="s">
        <v>13</v>
      </c>
      <c r="B12" s="1" t="s">
        <v>201</v>
      </c>
      <c r="C12" s="1" t="s">
        <v>26</v>
      </c>
      <c r="D12" s="1" t="s">
        <v>169</v>
      </c>
      <c r="E12" s="3" t="s">
        <v>202</v>
      </c>
      <c r="F12" s="2" t="str">
        <f t="shared" si="0"/>
        <v>3</v>
      </c>
      <c r="G12" s="3" t="s">
        <v>369</v>
      </c>
      <c r="H12" s="2" t="s">
        <v>12</v>
      </c>
      <c r="I12" s="2" t="s">
        <v>12</v>
      </c>
      <c r="J12" s="2" t="s">
        <v>426</v>
      </c>
    </row>
    <row r="13" spans="1:10" x14ac:dyDescent="0.3">
      <c r="A13" t="s">
        <v>68</v>
      </c>
      <c r="B13" s="1" t="s">
        <v>168</v>
      </c>
      <c r="C13" s="1" t="s">
        <v>26</v>
      </c>
      <c r="D13" s="1" t="s">
        <v>169</v>
      </c>
      <c r="E13" s="3" t="s">
        <v>170</v>
      </c>
      <c r="F13" s="2" t="str">
        <f t="shared" si="0"/>
        <v>9</v>
      </c>
      <c r="G13" s="3" t="s">
        <v>369</v>
      </c>
      <c r="H13" s="2" t="s">
        <v>12</v>
      </c>
      <c r="I13" s="2" t="s">
        <v>12</v>
      </c>
      <c r="J13" s="2" t="s">
        <v>426</v>
      </c>
    </row>
    <row r="14" spans="1:10" x14ac:dyDescent="0.3">
      <c r="A14" t="s">
        <v>58</v>
      </c>
      <c r="B14" s="1" t="s">
        <v>190</v>
      </c>
      <c r="C14" s="1" t="s">
        <v>26</v>
      </c>
      <c r="D14" s="1" t="s">
        <v>169</v>
      </c>
      <c r="E14" s="3" t="s">
        <v>191</v>
      </c>
      <c r="F14" s="2" t="str">
        <f t="shared" si="0"/>
        <v>7</v>
      </c>
      <c r="G14" s="3" t="s">
        <v>369</v>
      </c>
      <c r="H14" s="2" t="s">
        <v>12</v>
      </c>
      <c r="I14" s="2" t="s">
        <v>12</v>
      </c>
      <c r="J14" s="2" t="s">
        <v>426</v>
      </c>
    </row>
    <row r="15" spans="1:10" x14ac:dyDescent="0.3">
      <c r="A15" t="s">
        <v>187</v>
      </c>
      <c r="B15" s="1" t="s">
        <v>196</v>
      </c>
      <c r="C15" s="1" t="s">
        <v>26</v>
      </c>
      <c r="D15" s="1" t="s">
        <v>169</v>
      </c>
      <c r="E15" s="3" t="s">
        <v>197</v>
      </c>
      <c r="F15" s="2" t="str">
        <f t="shared" si="0"/>
        <v>4</v>
      </c>
      <c r="G15" s="3" t="s">
        <v>369</v>
      </c>
      <c r="H15" s="2" t="s">
        <v>12</v>
      </c>
      <c r="I15" s="2" t="s">
        <v>12</v>
      </c>
      <c r="J15" s="2" t="s">
        <v>426</v>
      </c>
    </row>
    <row r="16" spans="1:10" x14ac:dyDescent="0.3">
      <c r="A16" t="s">
        <v>13</v>
      </c>
      <c r="B16" s="1" t="s">
        <v>171</v>
      </c>
      <c r="C16" s="1" t="s">
        <v>26</v>
      </c>
      <c r="D16" s="1" t="s">
        <v>169</v>
      </c>
      <c r="E16" s="3" t="s">
        <v>172</v>
      </c>
      <c r="F16" s="2" t="str">
        <f t="shared" si="0"/>
        <v>8</v>
      </c>
      <c r="G16" s="3" t="s">
        <v>369</v>
      </c>
      <c r="H16" s="2" t="s">
        <v>12</v>
      </c>
      <c r="I16" s="2" t="s">
        <v>12</v>
      </c>
      <c r="J16" s="2" t="s">
        <v>426</v>
      </c>
    </row>
    <row r="17" spans="1:10" x14ac:dyDescent="0.3">
      <c r="A17" t="s">
        <v>78</v>
      </c>
      <c r="B17" s="1" t="s">
        <v>213</v>
      </c>
      <c r="C17" s="1" t="s">
        <v>26</v>
      </c>
      <c r="D17" s="1" t="s">
        <v>214</v>
      </c>
      <c r="E17" s="3" t="s">
        <v>215</v>
      </c>
      <c r="F17" s="2" t="str">
        <f t="shared" si="0"/>
        <v>0</v>
      </c>
      <c r="G17" s="3" t="s">
        <v>369</v>
      </c>
      <c r="H17" s="2" t="s">
        <v>12</v>
      </c>
      <c r="I17" s="2" t="s">
        <v>12</v>
      </c>
      <c r="J17" s="2" t="s">
        <v>426</v>
      </c>
    </row>
    <row r="18" spans="1:10" x14ac:dyDescent="0.3">
      <c r="A18" t="s">
        <v>78</v>
      </c>
      <c r="B18" s="1" t="s">
        <v>216</v>
      </c>
      <c r="C18" s="1" t="s">
        <v>26</v>
      </c>
      <c r="D18" s="1" t="s">
        <v>214</v>
      </c>
      <c r="E18" s="3" t="s">
        <v>217</v>
      </c>
      <c r="F18" s="2" t="str">
        <f t="shared" si="0"/>
        <v>7</v>
      </c>
      <c r="G18" s="3" t="s">
        <v>369</v>
      </c>
      <c r="H18" s="2" t="s">
        <v>12</v>
      </c>
      <c r="I18" s="2" t="s">
        <v>12</v>
      </c>
      <c r="J18" s="2" t="s">
        <v>426</v>
      </c>
    </row>
    <row r="19" spans="1:10" x14ac:dyDescent="0.3">
      <c r="A19" t="s">
        <v>78</v>
      </c>
      <c r="B19" s="1" t="s">
        <v>218</v>
      </c>
      <c r="C19" s="1" t="s">
        <v>26</v>
      </c>
      <c r="D19" s="1" t="s">
        <v>214</v>
      </c>
      <c r="E19" s="3" t="s">
        <v>219</v>
      </c>
      <c r="F19" s="2" t="str">
        <f t="shared" si="0"/>
        <v>3</v>
      </c>
      <c r="G19" s="3" t="s">
        <v>369</v>
      </c>
      <c r="H19" s="2" t="s">
        <v>12</v>
      </c>
      <c r="I19" s="2" t="s">
        <v>12</v>
      </c>
      <c r="J19" s="2" t="s">
        <v>426</v>
      </c>
    </row>
    <row r="20" spans="1:10" x14ac:dyDescent="0.3">
      <c r="A20" t="s">
        <v>78</v>
      </c>
      <c r="B20" s="1" t="s">
        <v>220</v>
      </c>
      <c r="C20" s="1" t="s">
        <v>26</v>
      </c>
      <c r="D20" s="1" t="s">
        <v>214</v>
      </c>
      <c r="E20" s="3" t="s">
        <v>221</v>
      </c>
      <c r="F20" s="2" t="str">
        <f t="shared" si="0"/>
        <v>9</v>
      </c>
      <c r="G20" s="3" t="s">
        <v>369</v>
      </c>
      <c r="H20" s="2" t="s">
        <v>12</v>
      </c>
      <c r="I20" s="2" t="s">
        <v>12</v>
      </c>
      <c r="J20" s="2" t="s">
        <v>426</v>
      </c>
    </row>
    <row r="21" spans="1:10" x14ac:dyDescent="0.3">
      <c r="A21" t="s">
        <v>78</v>
      </c>
      <c r="B21" s="1" t="s">
        <v>222</v>
      </c>
      <c r="C21" s="1" t="s">
        <v>26</v>
      </c>
      <c r="D21" s="1" t="s">
        <v>214</v>
      </c>
      <c r="E21" s="3" t="s">
        <v>223</v>
      </c>
      <c r="F21" s="2" t="str">
        <f t="shared" si="0"/>
        <v>1</v>
      </c>
      <c r="G21" s="3" t="s">
        <v>369</v>
      </c>
      <c r="H21" s="2" t="s">
        <v>12</v>
      </c>
      <c r="I21" s="2" t="s">
        <v>12</v>
      </c>
      <c r="J21" s="2" t="s">
        <v>426</v>
      </c>
    </row>
    <row r="22" spans="1:10" x14ac:dyDescent="0.3">
      <c r="A22" t="s">
        <v>78</v>
      </c>
      <c r="B22" s="1" t="s">
        <v>224</v>
      </c>
      <c r="C22" s="1" t="s">
        <v>26</v>
      </c>
      <c r="D22" s="1" t="s">
        <v>214</v>
      </c>
      <c r="E22" s="3" t="s">
        <v>225</v>
      </c>
      <c r="F22" s="2" t="str">
        <f t="shared" si="0"/>
        <v>8</v>
      </c>
      <c r="G22" s="3" t="s">
        <v>369</v>
      </c>
      <c r="H22" s="2" t="s">
        <v>12</v>
      </c>
      <c r="I22" s="2" t="s">
        <v>12</v>
      </c>
      <c r="J22" s="2" t="s">
        <v>426</v>
      </c>
    </row>
    <row r="23" spans="1:10" x14ac:dyDescent="0.3">
      <c r="A23" t="s">
        <v>78</v>
      </c>
      <c r="B23" s="1" t="s">
        <v>226</v>
      </c>
      <c r="C23" s="1" t="s">
        <v>26</v>
      </c>
      <c r="D23" s="1" t="s">
        <v>214</v>
      </c>
      <c r="E23" s="3" t="s">
        <v>227</v>
      </c>
      <c r="F23" s="2" t="str">
        <f t="shared" si="0"/>
        <v>8</v>
      </c>
      <c r="G23" s="3" t="s">
        <v>369</v>
      </c>
      <c r="H23" s="2" t="s">
        <v>12</v>
      </c>
      <c r="I23" s="2" t="s">
        <v>12</v>
      </c>
      <c r="J23" s="2" t="s">
        <v>426</v>
      </c>
    </row>
    <row r="24" spans="1:10" x14ac:dyDescent="0.3">
      <c r="A24" t="s">
        <v>78</v>
      </c>
      <c r="B24" s="1" t="s">
        <v>228</v>
      </c>
      <c r="C24" s="1" t="s">
        <v>26</v>
      </c>
      <c r="D24" s="1" t="s">
        <v>214</v>
      </c>
      <c r="E24" s="3" t="s">
        <v>229</v>
      </c>
      <c r="F24" s="2" t="str">
        <f t="shared" si="0"/>
        <v>4</v>
      </c>
      <c r="G24" s="3" t="s">
        <v>369</v>
      </c>
      <c r="H24" s="2" t="s">
        <v>12</v>
      </c>
      <c r="I24" s="2" t="s">
        <v>12</v>
      </c>
      <c r="J24" s="2" t="s">
        <v>426</v>
      </c>
    </row>
    <row r="25" spans="1:10" x14ac:dyDescent="0.3">
      <c r="A25" t="s">
        <v>78</v>
      </c>
      <c r="B25" s="1" t="s">
        <v>230</v>
      </c>
      <c r="C25" s="1" t="s">
        <v>26</v>
      </c>
      <c r="D25" s="1" t="s">
        <v>214</v>
      </c>
      <c r="E25" s="3" t="s">
        <v>231</v>
      </c>
      <c r="F25" s="2" t="str">
        <f t="shared" si="0"/>
        <v>4</v>
      </c>
      <c r="G25" s="3" t="s">
        <v>369</v>
      </c>
      <c r="H25" s="2" t="s">
        <v>12</v>
      </c>
      <c r="I25" s="2" t="s">
        <v>12</v>
      </c>
      <c r="J25" s="2" t="s">
        <v>426</v>
      </c>
    </row>
    <row r="26" spans="1:10" x14ac:dyDescent="0.3">
      <c r="A26" t="s">
        <v>123</v>
      </c>
      <c r="B26" s="1" t="s">
        <v>124</v>
      </c>
      <c r="C26" s="1" t="s">
        <v>26</v>
      </c>
      <c r="D26" s="1" t="s">
        <v>285</v>
      </c>
      <c r="E26" s="3" t="s">
        <v>125</v>
      </c>
      <c r="F26" s="2" t="str">
        <f t="shared" si="0"/>
        <v>4</v>
      </c>
      <c r="G26" s="3" t="s">
        <v>369</v>
      </c>
      <c r="H26" s="2" t="s">
        <v>12</v>
      </c>
      <c r="I26" s="2" t="s">
        <v>12</v>
      </c>
      <c r="J26" s="2" t="s">
        <v>426</v>
      </c>
    </row>
    <row r="27" spans="1:10" x14ac:dyDescent="0.3">
      <c r="A27" t="s">
        <v>13</v>
      </c>
      <c r="B27" s="1" t="s">
        <v>25</v>
      </c>
      <c r="C27" s="1" t="s">
        <v>26</v>
      </c>
      <c r="D27" s="1" t="s">
        <v>285</v>
      </c>
      <c r="E27" s="3" t="s">
        <v>27</v>
      </c>
      <c r="F27" s="2" t="str">
        <f t="shared" si="0"/>
        <v>5</v>
      </c>
      <c r="G27" s="3" t="s">
        <v>369</v>
      </c>
      <c r="H27" s="2" t="s">
        <v>12</v>
      </c>
      <c r="I27" s="2" t="s">
        <v>12</v>
      </c>
      <c r="J27" s="2" t="s">
        <v>426</v>
      </c>
    </row>
    <row r="28" spans="1:10" x14ac:dyDescent="0.3">
      <c r="A28" t="s">
        <v>43</v>
      </c>
      <c r="B28" s="1" t="s">
        <v>44</v>
      </c>
      <c r="C28" s="1" t="s">
        <v>26</v>
      </c>
      <c r="D28" s="1" t="s">
        <v>286</v>
      </c>
      <c r="E28" s="3" t="s">
        <v>45</v>
      </c>
      <c r="F28" s="2" t="str">
        <f t="shared" si="0"/>
        <v>4</v>
      </c>
      <c r="G28" s="3" t="s">
        <v>369</v>
      </c>
      <c r="H28" s="2" t="s">
        <v>12</v>
      </c>
      <c r="I28" s="2" t="s">
        <v>12</v>
      </c>
      <c r="J28" s="2" t="s">
        <v>426</v>
      </c>
    </row>
    <row r="29" spans="1:10" x14ac:dyDescent="0.3">
      <c r="A29" t="s">
        <v>13</v>
      </c>
      <c r="B29" s="1" t="s">
        <v>53</v>
      </c>
      <c r="C29" s="1" t="s">
        <v>4</v>
      </c>
      <c r="D29" s="1"/>
      <c r="E29" s="3" t="s">
        <v>54</v>
      </c>
      <c r="F29" s="2" t="str">
        <f t="shared" si="0"/>
        <v>1</v>
      </c>
      <c r="G29" s="3" t="s">
        <v>369</v>
      </c>
      <c r="H29" s="2" t="s">
        <v>12</v>
      </c>
      <c r="I29" s="2" t="s">
        <v>12</v>
      </c>
      <c r="J29" s="2" t="s">
        <v>426</v>
      </c>
    </row>
    <row r="30" spans="1:10" x14ac:dyDescent="0.3">
      <c r="A30" t="s">
        <v>63</v>
      </c>
      <c r="B30" s="1" t="s">
        <v>141</v>
      </c>
      <c r="C30" s="1" t="s">
        <v>4</v>
      </c>
      <c r="D30" s="1"/>
      <c r="E30" s="3" t="s">
        <v>142</v>
      </c>
      <c r="F30" s="2" t="str">
        <f t="shared" si="0"/>
        <v>0</v>
      </c>
      <c r="G30" s="3" t="s">
        <v>369</v>
      </c>
      <c r="H30" s="2" t="s">
        <v>12</v>
      </c>
      <c r="I30" s="2" t="s">
        <v>12</v>
      </c>
      <c r="J30" s="2" t="s">
        <v>426</v>
      </c>
    </row>
    <row r="31" spans="1:10" x14ac:dyDescent="0.3">
      <c r="A31" t="s">
        <v>13</v>
      </c>
      <c r="B31" s="1" t="s">
        <v>14</v>
      </c>
      <c r="C31" s="1" t="s">
        <v>16</v>
      </c>
      <c r="D31" s="1"/>
      <c r="E31" s="3" t="s">
        <v>15</v>
      </c>
      <c r="F31" s="2" t="str">
        <f t="shared" si="0"/>
        <v>7</v>
      </c>
      <c r="G31" s="3" t="s">
        <v>369</v>
      </c>
      <c r="H31" s="2" t="s">
        <v>12</v>
      </c>
      <c r="I31" s="2" t="s">
        <v>12</v>
      </c>
      <c r="J31" s="2" t="s">
        <v>426</v>
      </c>
    </row>
    <row r="32" spans="1:10" x14ac:dyDescent="0.3">
      <c r="A32" t="s">
        <v>8</v>
      </c>
      <c r="B32" s="1" t="s">
        <v>162</v>
      </c>
      <c r="C32" s="1" t="s">
        <v>4</v>
      </c>
      <c r="D32" s="1"/>
      <c r="E32" s="3" t="s">
        <v>163</v>
      </c>
      <c r="F32" s="2" t="str">
        <f t="shared" si="0"/>
        <v>0</v>
      </c>
      <c r="G32" s="3" t="s">
        <v>369</v>
      </c>
      <c r="H32" s="2" t="s">
        <v>12</v>
      </c>
      <c r="I32" s="2" t="s">
        <v>12</v>
      </c>
      <c r="J32" s="2" t="s">
        <v>426</v>
      </c>
    </row>
    <row r="33" spans="1:10" x14ac:dyDescent="0.3">
      <c r="A33" t="s">
        <v>13</v>
      </c>
      <c r="B33" s="1" t="s">
        <v>266</v>
      </c>
      <c r="C33" s="1" t="s">
        <v>4</v>
      </c>
      <c r="D33" s="1"/>
      <c r="E33" s="3" t="s">
        <v>267</v>
      </c>
      <c r="F33" s="2" t="str">
        <f t="shared" si="0"/>
        <v>4</v>
      </c>
      <c r="G33" s="3" t="s">
        <v>369</v>
      </c>
      <c r="H33" s="2" t="s">
        <v>12</v>
      </c>
      <c r="I33" s="2" t="s">
        <v>12</v>
      </c>
      <c r="J33" s="2" t="s">
        <v>426</v>
      </c>
    </row>
    <row r="34" spans="1:10" x14ac:dyDescent="0.3">
      <c r="A34" t="s">
        <v>19</v>
      </c>
      <c r="B34" s="1" t="s">
        <v>271</v>
      </c>
      <c r="C34" s="1" t="s">
        <v>29</v>
      </c>
      <c r="D34" s="1"/>
      <c r="E34" s="3" t="s">
        <v>272</v>
      </c>
      <c r="F34" s="2" t="str">
        <f t="shared" si="0"/>
        <v>3</v>
      </c>
      <c r="G34" s="3" t="s">
        <v>369</v>
      </c>
      <c r="H34" s="2" t="s">
        <v>12</v>
      </c>
      <c r="I34" s="2" t="s">
        <v>12</v>
      </c>
      <c r="J34" s="2" t="s">
        <v>426</v>
      </c>
    </row>
    <row r="35" spans="1:10" x14ac:dyDescent="0.3">
      <c r="A35" t="s">
        <v>55</v>
      </c>
      <c r="B35" s="1" t="s">
        <v>56</v>
      </c>
      <c r="C35" s="1" t="s">
        <v>16</v>
      </c>
      <c r="D35" s="1"/>
      <c r="E35" s="3" t="s">
        <v>57</v>
      </c>
      <c r="F35" s="2" t="str">
        <f t="shared" si="0"/>
        <v>4</v>
      </c>
      <c r="G35" s="3" t="s">
        <v>369</v>
      </c>
      <c r="H35" s="2" t="s">
        <v>12</v>
      </c>
      <c r="I35" s="2" t="s">
        <v>12</v>
      </c>
      <c r="J35" s="2" t="s">
        <v>426</v>
      </c>
    </row>
    <row r="36" spans="1:10" x14ac:dyDescent="0.3">
      <c r="A36" t="s">
        <v>119</v>
      </c>
      <c r="B36" s="1" t="s">
        <v>120</v>
      </c>
      <c r="C36" s="1" t="s">
        <v>16</v>
      </c>
      <c r="D36" s="1"/>
      <c r="E36" s="3" t="s">
        <v>121</v>
      </c>
      <c r="F36" s="2" t="str">
        <f t="shared" si="0"/>
        <v>2</v>
      </c>
      <c r="G36" s="3" t="s">
        <v>369</v>
      </c>
      <c r="H36" s="2" t="s">
        <v>12</v>
      </c>
      <c r="I36" s="2" t="s">
        <v>12</v>
      </c>
      <c r="J36" s="2" t="s">
        <v>426</v>
      </c>
    </row>
    <row r="37" spans="1:10" x14ac:dyDescent="0.3">
      <c r="A37" t="s">
        <v>119</v>
      </c>
      <c r="B37" s="1" t="s">
        <v>120</v>
      </c>
      <c r="C37" s="1" t="s">
        <v>16</v>
      </c>
      <c r="D37" s="1"/>
      <c r="E37" s="3" t="s">
        <v>122</v>
      </c>
      <c r="F37" s="2" t="str">
        <f t="shared" si="0"/>
        <v>2</v>
      </c>
      <c r="G37" s="3" t="s">
        <v>369</v>
      </c>
      <c r="H37" s="2" t="s">
        <v>12</v>
      </c>
      <c r="I37" s="2" t="s">
        <v>12</v>
      </c>
      <c r="J37" s="2" t="s">
        <v>426</v>
      </c>
    </row>
    <row r="38" spans="1:10" x14ac:dyDescent="0.3">
      <c r="A38" t="s">
        <v>31</v>
      </c>
      <c r="B38" s="1" t="s">
        <v>51</v>
      </c>
      <c r="C38" s="1" t="s">
        <v>4</v>
      </c>
      <c r="D38" s="1"/>
      <c r="E38" s="3" t="s">
        <v>52</v>
      </c>
      <c r="F38" s="2" t="str">
        <f t="shared" si="0"/>
        <v>3</v>
      </c>
      <c r="G38" s="3" t="s">
        <v>369</v>
      </c>
      <c r="H38" s="2" t="s">
        <v>12</v>
      </c>
      <c r="I38" s="2" t="s">
        <v>12</v>
      </c>
      <c r="J38" s="2" t="s">
        <v>426</v>
      </c>
    </row>
    <row r="39" spans="1:10" x14ac:dyDescent="0.3">
      <c r="A39" t="s">
        <v>19</v>
      </c>
      <c r="B39" s="1" t="s">
        <v>28</v>
      </c>
      <c r="C39" s="1" t="s">
        <v>29</v>
      </c>
      <c r="D39" s="1"/>
      <c r="E39" s="3" t="s">
        <v>30</v>
      </c>
      <c r="F39" s="2" t="str">
        <f t="shared" si="0"/>
        <v>5</v>
      </c>
      <c r="G39" s="3" t="s">
        <v>369</v>
      </c>
      <c r="H39" s="2" t="s">
        <v>12</v>
      </c>
      <c r="I39" s="2" t="s">
        <v>12</v>
      </c>
      <c r="J39" s="2" t="s">
        <v>426</v>
      </c>
    </row>
    <row r="40" spans="1:10" x14ac:dyDescent="0.3">
      <c r="A40" t="s">
        <v>58</v>
      </c>
      <c r="B40" s="1" t="s">
        <v>260</v>
      </c>
      <c r="C40" s="1" t="s">
        <v>29</v>
      </c>
      <c r="D40" s="1"/>
      <c r="E40" s="3" t="s">
        <v>261</v>
      </c>
      <c r="F40" s="2" t="str">
        <f t="shared" si="0"/>
        <v>3</v>
      </c>
      <c r="G40" s="3" t="s">
        <v>369</v>
      </c>
      <c r="H40" s="2" t="s">
        <v>12</v>
      </c>
      <c r="I40" s="2" t="s">
        <v>12</v>
      </c>
      <c r="J40" s="2" t="s">
        <v>426</v>
      </c>
    </row>
    <row r="41" spans="1:10" x14ac:dyDescent="0.3">
      <c r="A41" t="s">
        <v>48</v>
      </c>
      <c r="B41" s="1" t="s">
        <v>252</v>
      </c>
      <c r="C41" s="1" t="s">
        <v>4</v>
      </c>
      <c r="D41" s="1"/>
      <c r="E41" s="3" t="s">
        <v>253</v>
      </c>
      <c r="F41" s="2" t="str">
        <f t="shared" si="0"/>
        <v>8</v>
      </c>
      <c r="G41" s="3" t="s">
        <v>369</v>
      </c>
      <c r="H41" s="2" t="s">
        <v>12</v>
      </c>
      <c r="I41" s="2" t="s">
        <v>12</v>
      </c>
      <c r="J41" s="2" t="s">
        <v>426</v>
      </c>
    </row>
    <row r="42" spans="1:10" x14ac:dyDescent="0.3">
      <c r="A42" t="s">
        <v>71</v>
      </c>
      <c r="B42" s="1" t="s">
        <v>72</v>
      </c>
      <c r="C42" s="1" t="s">
        <v>29</v>
      </c>
      <c r="D42" s="1"/>
      <c r="E42" s="3" t="s">
        <v>73</v>
      </c>
      <c r="F42" s="2" t="str">
        <f t="shared" si="0"/>
        <v>8</v>
      </c>
      <c r="G42" s="3" t="s">
        <v>369</v>
      </c>
      <c r="H42" s="2" t="s">
        <v>12</v>
      </c>
      <c r="I42" s="2" t="s">
        <v>12</v>
      </c>
      <c r="J42" s="2" t="s">
        <v>426</v>
      </c>
    </row>
    <row r="43" spans="1:10" x14ac:dyDescent="0.3">
      <c r="A43" t="s">
        <v>5</v>
      </c>
      <c r="B43" s="1" t="s">
        <v>106</v>
      </c>
      <c r="C43" s="1" t="s">
        <v>29</v>
      </c>
      <c r="D43" s="1"/>
      <c r="E43" s="3" t="s">
        <v>107</v>
      </c>
      <c r="F43" s="2" t="str">
        <f t="shared" si="0"/>
        <v>4</v>
      </c>
      <c r="G43" s="3" t="s">
        <v>369</v>
      </c>
      <c r="H43" s="2" t="s">
        <v>12</v>
      </c>
      <c r="I43" s="2" t="s">
        <v>12</v>
      </c>
      <c r="J43" s="2" t="s">
        <v>426</v>
      </c>
    </row>
    <row r="44" spans="1:10" x14ac:dyDescent="0.3">
      <c r="A44" t="s">
        <v>242</v>
      </c>
      <c r="B44" s="1" t="s">
        <v>241</v>
      </c>
      <c r="C44" s="1" t="s">
        <v>4</v>
      </c>
      <c r="D44" s="1"/>
      <c r="E44" s="3" t="s">
        <v>243</v>
      </c>
      <c r="F44" s="2" t="str">
        <f t="shared" si="0"/>
        <v>7</v>
      </c>
      <c r="G44" s="3" t="s">
        <v>369</v>
      </c>
      <c r="H44" s="2" t="s">
        <v>12</v>
      </c>
      <c r="I44" s="2" t="s">
        <v>12</v>
      </c>
      <c r="J44" s="2" t="s">
        <v>426</v>
      </c>
    </row>
    <row r="45" spans="1:10" x14ac:dyDescent="0.3">
      <c r="A45" t="s">
        <v>19</v>
      </c>
      <c r="B45" s="1" t="s">
        <v>20</v>
      </c>
      <c r="C45" s="1" t="s">
        <v>16</v>
      </c>
      <c r="D45" s="1"/>
      <c r="E45" s="3" t="s">
        <v>21</v>
      </c>
      <c r="F45" s="2" t="str">
        <f t="shared" si="0"/>
        <v>7</v>
      </c>
      <c r="G45" s="3" t="s">
        <v>369</v>
      </c>
      <c r="H45" s="2" t="s">
        <v>12</v>
      </c>
      <c r="I45" s="2" t="s">
        <v>12</v>
      </c>
      <c r="J45" s="2" t="s">
        <v>426</v>
      </c>
    </row>
    <row r="46" spans="1:10" x14ac:dyDescent="0.3">
      <c r="A46" t="s">
        <v>8</v>
      </c>
      <c r="B46" s="1" t="s">
        <v>95</v>
      </c>
      <c r="C46" s="1" t="s">
        <v>4</v>
      </c>
      <c r="D46" s="1"/>
      <c r="E46" s="3" t="s">
        <v>259</v>
      </c>
      <c r="F46" s="2" t="str">
        <f t="shared" si="0"/>
        <v>8</v>
      </c>
      <c r="G46" s="3" t="s">
        <v>369</v>
      </c>
      <c r="H46" s="2" t="s">
        <v>12</v>
      </c>
      <c r="I46" s="2" t="s">
        <v>12</v>
      </c>
      <c r="J46" s="2" t="s">
        <v>426</v>
      </c>
    </row>
    <row r="47" spans="1:10" x14ac:dyDescent="0.3">
      <c r="A47" t="s">
        <v>31</v>
      </c>
      <c r="B47" s="1" t="s">
        <v>37</v>
      </c>
      <c r="C47" s="1" t="s">
        <v>4</v>
      </c>
      <c r="D47" s="1"/>
      <c r="E47" s="3" t="s">
        <v>167</v>
      </c>
      <c r="F47" s="2" t="str">
        <f t="shared" si="0"/>
        <v>5</v>
      </c>
      <c r="G47" s="3" t="s">
        <v>369</v>
      </c>
      <c r="H47" s="2" t="s">
        <v>12</v>
      </c>
      <c r="I47" s="2" t="s">
        <v>12</v>
      </c>
      <c r="J47" s="2" t="s">
        <v>426</v>
      </c>
    </row>
    <row r="48" spans="1:10" x14ac:dyDescent="0.3">
      <c r="A48" t="s">
        <v>48</v>
      </c>
      <c r="B48" s="1" t="s">
        <v>155</v>
      </c>
      <c r="C48" s="1" t="s">
        <v>4</v>
      </c>
      <c r="D48" s="1"/>
      <c r="E48" s="3" t="s">
        <v>156</v>
      </c>
      <c r="F48" s="2" t="str">
        <f t="shared" si="0"/>
        <v>0</v>
      </c>
      <c r="G48" s="3" t="s">
        <v>369</v>
      </c>
      <c r="H48" s="2" t="s">
        <v>12</v>
      </c>
      <c r="I48" s="2" t="s">
        <v>12</v>
      </c>
      <c r="J48" s="2" t="s">
        <v>426</v>
      </c>
    </row>
    <row r="49" spans="1:10" x14ac:dyDescent="0.3">
      <c r="A49" t="s">
        <v>63</v>
      </c>
      <c r="B49" s="1" t="s">
        <v>280</v>
      </c>
      <c r="C49" s="1" t="s">
        <v>29</v>
      </c>
      <c r="D49" s="1"/>
      <c r="E49" s="3" t="s">
        <v>281</v>
      </c>
      <c r="F49" s="2" t="str">
        <f t="shared" si="0"/>
        <v>4</v>
      </c>
      <c r="G49" s="3" t="s">
        <v>369</v>
      </c>
      <c r="H49" s="2" t="s">
        <v>12</v>
      </c>
      <c r="I49" s="2" t="s">
        <v>12</v>
      </c>
      <c r="J49" s="2" t="s">
        <v>426</v>
      </c>
    </row>
    <row r="50" spans="1:10" x14ac:dyDescent="0.3">
      <c r="A50" t="s">
        <v>22</v>
      </c>
      <c r="B50" s="1" t="s">
        <v>23</v>
      </c>
      <c r="C50" s="1" t="s">
        <v>16</v>
      </c>
      <c r="D50" s="1"/>
      <c r="E50" s="3" t="s">
        <v>24</v>
      </c>
      <c r="F50" s="2" t="str">
        <f t="shared" si="0"/>
        <v>4</v>
      </c>
      <c r="G50" s="3" t="s">
        <v>369</v>
      </c>
      <c r="H50" s="2" t="s">
        <v>12</v>
      </c>
      <c r="I50" s="2" t="s">
        <v>12</v>
      </c>
      <c r="J50" s="2" t="s">
        <v>426</v>
      </c>
    </row>
    <row r="51" spans="1:10" x14ac:dyDescent="0.3">
      <c r="A51" t="s">
        <v>68</v>
      </c>
      <c r="B51" s="1" t="s">
        <v>127</v>
      </c>
      <c r="C51" s="1" t="s">
        <v>4</v>
      </c>
      <c r="D51" s="1"/>
      <c r="E51" s="3" t="s">
        <v>128</v>
      </c>
      <c r="F51" s="2" t="str">
        <f t="shared" si="0"/>
        <v>3</v>
      </c>
      <c r="G51" s="3" t="s">
        <v>369</v>
      </c>
      <c r="H51" s="2" t="s">
        <v>12</v>
      </c>
      <c r="I51" s="2" t="s">
        <v>12</v>
      </c>
      <c r="J51" s="2" t="s">
        <v>426</v>
      </c>
    </row>
    <row r="52" spans="1:10" x14ac:dyDescent="0.3">
      <c r="A52" t="s">
        <v>245</v>
      </c>
      <c r="B52" s="1" t="s">
        <v>244</v>
      </c>
      <c r="C52" s="1" t="s">
        <v>29</v>
      </c>
      <c r="D52" s="1"/>
      <c r="E52" s="3" t="s">
        <v>246</v>
      </c>
      <c r="F52" s="2" t="str">
        <f t="shared" si="0"/>
        <v>2</v>
      </c>
      <c r="G52" s="3" t="s">
        <v>369</v>
      </c>
      <c r="H52" s="2" t="s">
        <v>12</v>
      </c>
      <c r="I52" s="2" t="s">
        <v>12</v>
      </c>
      <c r="J52" s="2" t="s">
        <v>426</v>
      </c>
    </row>
    <row r="53" spans="1:10" x14ac:dyDescent="0.3">
      <c r="A53" t="s">
        <v>63</v>
      </c>
      <c r="B53" s="1" t="s">
        <v>64</v>
      </c>
      <c r="C53" s="1" t="s">
        <v>29</v>
      </c>
      <c r="D53" s="1"/>
      <c r="E53" s="3" t="s">
        <v>65</v>
      </c>
      <c r="F53" s="2" t="str">
        <f t="shared" si="0"/>
        <v>1</v>
      </c>
      <c r="G53" s="3" t="s">
        <v>369</v>
      </c>
      <c r="H53" s="2" t="s">
        <v>12</v>
      </c>
      <c r="I53" s="2" t="s">
        <v>12</v>
      </c>
      <c r="J53" s="2" t="s">
        <v>426</v>
      </c>
    </row>
    <row r="54" spans="1:10" x14ac:dyDescent="0.3">
      <c r="A54" t="s">
        <v>68</v>
      </c>
      <c r="B54" s="1" t="s">
        <v>282</v>
      </c>
      <c r="C54" s="1" t="s">
        <v>29</v>
      </c>
      <c r="D54" s="1"/>
      <c r="E54" s="3" t="s">
        <v>283</v>
      </c>
      <c r="F54" s="2" t="str">
        <f t="shared" si="0"/>
        <v>8</v>
      </c>
      <c r="G54" s="3" t="s">
        <v>369</v>
      </c>
      <c r="H54" s="2" t="s">
        <v>12</v>
      </c>
      <c r="I54" s="2" t="s">
        <v>12</v>
      </c>
      <c r="J54" s="2" t="s">
        <v>426</v>
      </c>
    </row>
    <row r="55" spans="1:10" x14ac:dyDescent="0.3">
      <c r="A55" t="s">
        <v>178</v>
      </c>
      <c r="B55" s="1" t="s">
        <v>179</v>
      </c>
      <c r="C55" s="1" t="s">
        <v>29</v>
      </c>
      <c r="D55" s="1"/>
      <c r="E55" s="3" t="s">
        <v>180</v>
      </c>
      <c r="F55" s="2" t="str">
        <f t="shared" si="0"/>
        <v>5</v>
      </c>
      <c r="G55" s="3" t="s">
        <v>369</v>
      </c>
      <c r="H55" s="2" t="s">
        <v>12</v>
      </c>
      <c r="I55" s="2" t="s">
        <v>12</v>
      </c>
      <c r="J55" s="2" t="s">
        <v>426</v>
      </c>
    </row>
    <row r="56" spans="1:10" x14ac:dyDescent="0.3">
      <c r="A56" t="s">
        <v>178</v>
      </c>
      <c r="B56" s="1" t="s">
        <v>247</v>
      </c>
      <c r="C56" s="1" t="s">
        <v>4</v>
      </c>
      <c r="D56" s="1"/>
      <c r="E56" s="3" t="s">
        <v>248</v>
      </c>
      <c r="F56" s="2" t="str">
        <f t="shared" si="0"/>
        <v>4</v>
      </c>
      <c r="G56" s="3" t="s">
        <v>369</v>
      </c>
      <c r="H56" s="2" t="s">
        <v>12</v>
      </c>
      <c r="I56" s="2" t="s">
        <v>12</v>
      </c>
      <c r="J56" s="2" t="s">
        <v>426</v>
      </c>
    </row>
    <row r="57" spans="1:10" x14ac:dyDescent="0.3">
      <c r="A57" t="s">
        <v>87</v>
      </c>
      <c r="B57" s="1" t="s">
        <v>88</v>
      </c>
      <c r="C57" s="1" t="s">
        <v>29</v>
      </c>
      <c r="D57" s="1"/>
      <c r="E57" s="3" t="s">
        <v>89</v>
      </c>
      <c r="F57" s="2" t="str">
        <f t="shared" si="0"/>
        <v>1</v>
      </c>
      <c r="G57" s="3" t="s">
        <v>369</v>
      </c>
      <c r="H57" s="2" t="s">
        <v>12</v>
      </c>
      <c r="I57" s="2" t="s">
        <v>12</v>
      </c>
      <c r="J57" s="2" t="s">
        <v>426</v>
      </c>
    </row>
    <row r="58" spans="1:10" x14ac:dyDescent="0.3">
      <c r="A58" t="s">
        <v>101</v>
      </c>
      <c r="B58" s="1" t="s">
        <v>102</v>
      </c>
      <c r="C58" s="1" t="s">
        <v>29</v>
      </c>
      <c r="D58" s="1"/>
      <c r="E58" s="3" t="s">
        <v>103</v>
      </c>
      <c r="F58" s="2" t="str">
        <f t="shared" si="0"/>
        <v>1</v>
      </c>
      <c r="G58" s="3" t="s">
        <v>369</v>
      </c>
      <c r="H58" s="2" t="s">
        <v>12</v>
      </c>
      <c r="I58" s="2" t="s">
        <v>12</v>
      </c>
      <c r="J58" s="2" t="s">
        <v>426</v>
      </c>
    </row>
    <row r="59" spans="1:10" x14ac:dyDescent="0.3">
      <c r="A59" t="s">
        <v>19</v>
      </c>
      <c r="B59" s="1" t="s">
        <v>157</v>
      </c>
      <c r="C59" s="1" t="s">
        <v>16</v>
      </c>
      <c r="D59" s="1"/>
      <c r="E59" s="3" t="s">
        <v>158</v>
      </c>
      <c r="F59" s="2" t="str">
        <f t="shared" si="0"/>
        <v>0</v>
      </c>
      <c r="G59" s="3" t="s">
        <v>369</v>
      </c>
      <c r="H59" s="2" t="s">
        <v>12</v>
      </c>
      <c r="I59" s="2" t="s">
        <v>12</v>
      </c>
      <c r="J59" s="2" t="s">
        <v>426</v>
      </c>
    </row>
    <row r="60" spans="1:10" x14ac:dyDescent="0.3">
      <c r="A60" t="s">
        <v>92</v>
      </c>
      <c r="B60" s="1" t="s">
        <v>93</v>
      </c>
      <c r="C60" s="1" t="s">
        <v>4</v>
      </c>
      <c r="D60" s="1"/>
      <c r="E60" s="3" t="s">
        <v>94</v>
      </c>
      <c r="F60" s="2" t="str">
        <f t="shared" si="0"/>
        <v>8</v>
      </c>
      <c r="G60" s="3" t="s">
        <v>369</v>
      </c>
      <c r="H60" s="2" t="s">
        <v>12</v>
      </c>
      <c r="I60" s="2" t="s">
        <v>12</v>
      </c>
      <c r="J60" s="2" t="s">
        <v>426</v>
      </c>
    </row>
    <row r="61" spans="1:10" x14ac:dyDescent="0.3">
      <c r="A61" t="s">
        <v>19</v>
      </c>
      <c r="B61" s="1" t="s">
        <v>273</v>
      </c>
      <c r="C61" s="1" t="s">
        <v>16</v>
      </c>
      <c r="D61" s="1"/>
      <c r="E61" s="3" t="s">
        <v>274</v>
      </c>
      <c r="F61" s="2" t="str">
        <f t="shared" si="0"/>
        <v>7</v>
      </c>
      <c r="G61" s="3" t="s">
        <v>369</v>
      </c>
      <c r="H61" s="2" t="s">
        <v>12</v>
      </c>
      <c r="I61" s="2" t="s">
        <v>12</v>
      </c>
      <c r="J61" s="2" t="s">
        <v>426</v>
      </c>
    </row>
    <row r="62" spans="1:10" x14ac:dyDescent="0.3">
      <c r="A62" t="s">
        <v>150</v>
      </c>
      <c r="B62" s="1" t="s">
        <v>151</v>
      </c>
      <c r="C62" s="1" t="s">
        <v>4</v>
      </c>
      <c r="D62" s="1"/>
      <c r="E62" s="3" t="s">
        <v>152</v>
      </c>
      <c r="F62" s="2" t="str">
        <f t="shared" si="0"/>
        <v>0</v>
      </c>
      <c r="G62" s="3" t="s">
        <v>369</v>
      </c>
      <c r="H62" s="2" t="s">
        <v>12</v>
      </c>
      <c r="I62" s="2" t="s">
        <v>12</v>
      </c>
      <c r="J62" s="2" t="s">
        <v>426</v>
      </c>
    </row>
    <row r="63" spans="1:10" x14ac:dyDescent="0.3">
      <c r="A63" t="s">
        <v>187</v>
      </c>
      <c r="B63" s="1" t="s">
        <v>188</v>
      </c>
      <c r="C63" s="1" t="s">
        <v>4</v>
      </c>
      <c r="D63" s="1"/>
      <c r="E63" s="3" t="s">
        <v>189</v>
      </c>
      <c r="F63" s="2" t="str">
        <f t="shared" si="0"/>
        <v>4</v>
      </c>
      <c r="G63" s="3" t="s">
        <v>369</v>
      </c>
      <c r="H63" s="2" t="s">
        <v>12</v>
      </c>
      <c r="I63" s="2" t="s">
        <v>12</v>
      </c>
      <c r="J63" s="2" t="s">
        <v>426</v>
      </c>
    </row>
    <row r="64" spans="1:10" x14ac:dyDescent="0.3">
      <c r="A64" t="s">
        <v>203</v>
      </c>
      <c r="B64" s="1" t="s">
        <v>208</v>
      </c>
      <c r="C64" s="1" t="s">
        <v>4</v>
      </c>
      <c r="D64" s="1"/>
      <c r="E64" s="3" t="s">
        <v>209</v>
      </c>
      <c r="F64" s="2" t="str">
        <f t="shared" si="0"/>
        <v>6</v>
      </c>
      <c r="G64" s="3" t="s">
        <v>369</v>
      </c>
      <c r="H64" s="2" t="s">
        <v>12</v>
      </c>
      <c r="I64" s="2" t="s">
        <v>12</v>
      </c>
      <c r="J64" s="2" t="s">
        <v>426</v>
      </c>
    </row>
    <row r="65" spans="1:10" x14ac:dyDescent="0.3">
      <c r="A65" t="s">
        <v>187</v>
      </c>
      <c r="B65" s="1" t="s">
        <v>254</v>
      </c>
      <c r="C65" s="1" t="s">
        <v>255</v>
      </c>
      <c r="D65" s="1"/>
      <c r="E65" s="3" t="s">
        <v>256</v>
      </c>
      <c r="F65" s="2" t="str">
        <f t="shared" si="0"/>
        <v>7</v>
      </c>
      <c r="G65" s="3" t="s">
        <v>369</v>
      </c>
      <c r="H65" s="2" t="s">
        <v>12</v>
      </c>
      <c r="I65" s="2" t="s">
        <v>12</v>
      </c>
      <c r="J65" s="2" t="s">
        <v>426</v>
      </c>
    </row>
    <row r="66" spans="1:10" x14ac:dyDescent="0.3">
      <c r="A66" t="s">
        <v>31</v>
      </c>
      <c r="B66" s="1" t="s">
        <v>32</v>
      </c>
      <c r="C66" s="1" t="s">
        <v>4</v>
      </c>
      <c r="D66" s="1"/>
      <c r="E66" s="3" t="s">
        <v>33</v>
      </c>
      <c r="F66" s="2" t="str">
        <f t="shared" si="0"/>
        <v>8</v>
      </c>
      <c r="G66" s="3" t="s">
        <v>369</v>
      </c>
      <c r="H66" s="2" t="s">
        <v>12</v>
      </c>
      <c r="I66" s="2" t="s">
        <v>12</v>
      </c>
      <c r="J66" s="2" t="s">
        <v>426</v>
      </c>
    </row>
    <row r="67" spans="1:10" x14ac:dyDescent="0.3">
      <c r="A67" t="s">
        <v>31</v>
      </c>
      <c r="B67" s="1" t="s">
        <v>32</v>
      </c>
      <c r="C67" s="1" t="s">
        <v>4</v>
      </c>
      <c r="D67" s="1"/>
      <c r="E67" s="3" t="s">
        <v>34</v>
      </c>
      <c r="F67" s="2" t="str">
        <f t="shared" ref="F67:F130" si="1">RIGHT(SUBSTITUTE(SUBSTITUTE(TRIM(E67)," ",""),"-",""),1)</f>
        <v>5</v>
      </c>
      <c r="G67" s="3" t="s">
        <v>369</v>
      </c>
      <c r="H67" s="2" t="s">
        <v>12</v>
      </c>
      <c r="I67" s="2" t="s">
        <v>12</v>
      </c>
      <c r="J67" s="2" t="s">
        <v>426</v>
      </c>
    </row>
    <row r="68" spans="1:10" x14ac:dyDescent="0.3">
      <c r="A68" t="s">
        <v>175</v>
      </c>
      <c r="B68" s="1" t="s">
        <v>176</v>
      </c>
      <c r="C68" s="1" t="s">
        <v>4</v>
      </c>
      <c r="D68" s="1"/>
      <c r="E68" s="3" t="s">
        <v>177</v>
      </c>
      <c r="F68" s="2" t="str">
        <f t="shared" si="1"/>
        <v>6</v>
      </c>
      <c r="G68" s="3" t="s">
        <v>369</v>
      </c>
      <c r="H68" s="2" t="s">
        <v>12</v>
      </c>
      <c r="I68" s="2" t="s">
        <v>12</v>
      </c>
      <c r="J68" s="2" t="s">
        <v>426</v>
      </c>
    </row>
    <row r="69" spans="1:10" x14ac:dyDescent="0.3">
      <c r="A69" t="s">
        <v>43</v>
      </c>
      <c r="B69" s="1" t="s">
        <v>129</v>
      </c>
      <c r="C69" s="1" t="s">
        <v>4</v>
      </c>
      <c r="D69" s="1"/>
      <c r="E69" s="3" t="s">
        <v>130</v>
      </c>
      <c r="F69" s="2" t="str">
        <f t="shared" si="1"/>
        <v>6</v>
      </c>
      <c r="G69" s="3" t="s">
        <v>369</v>
      </c>
      <c r="H69" s="2" t="s">
        <v>12</v>
      </c>
      <c r="I69" s="2" t="s">
        <v>12</v>
      </c>
      <c r="J69" s="2" t="s">
        <v>426</v>
      </c>
    </row>
    <row r="70" spans="1:10" x14ac:dyDescent="0.3">
      <c r="A70" t="s">
        <v>92</v>
      </c>
      <c r="B70" s="1" t="s">
        <v>192</v>
      </c>
      <c r="C70" s="1" t="s">
        <v>29</v>
      </c>
      <c r="D70" s="1"/>
      <c r="E70" s="3" t="s">
        <v>193</v>
      </c>
      <c r="F70" s="2" t="str">
        <f t="shared" si="1"/>
        <v>2</v>
      </c>
      <c r="G70" s="3" t="s">
        <v>369</v>
      </c>
      <c r="H70" s="2" t="s">
        <v>12</v>
      </c>
      <c r="I70" s="2" t="s">
        <v>12</v>
      </c>
      <c r="J70" s="2" t="s">
        <v>426</v>
      </c>
    </row>
    <row r="71" spans="1:10" x14ac:dyDescent="0.3">
      <c r="A71" t="s">
        <v>203</v>
      </c>
      <c r="B71" s="1" t="s">
        <v>204</v>
      </c>
      <c r="C71" s="1" t="s">
        <v>4</v>
      </c>
      <c r="D71" s="1"/>
      <c r="E71" s="3" t="s">
        <v>205</v>
      </c>
      <c r="F71" s="2" t="str">
        <f t="shared" si="1"/>
        <v>8</v>
      </c>
      <c r="G71" s="3" t="s">
        <v>369</v>
      </c>
      <c r="H71" s="2" t="s">
        <v>12</v>
      </c>
      <c r="I71" s="2" t="s">
        <v>12</v>
      </c>
      <c r="J71" s="2" t="s">
        <v>426</v>
      </c>
    </row>
    <row r="72" spans="1:10" x14ac:dyDescent="0.3">
      <c r="A72" t="s">
        <v>48</v>
      </c>
      <c r="B72" s="1" t="s">
        <v>49</v>
      </c>
      <c r="C72" s="1" t="s">
        <v>4</v>
      </c>
      <c r="D72" s="1"/>
      <c r="E72" s="3" t="s">
        <v>50</v>
      </c>
      <c r="F72" s="2" t="str">
        <f t="shared" si="1"/>
        <v>0</v>
      </c>
      <c r="G72" s="3" t="s">
        <v>369</v>
      </c>
      <c r="H72" s="2" t="s">
        <v>12</v>
      </c>
      <c r="I72" s="2" t="s">
        <v>12</v>
      </c>
      <c r="J72" s="2" t="s">
        <v>426</v>
      </c>
    </row>
    <row r="73" spans="1:10" x14ac:dyDescent="0.3">
      <c r="A73" t="s">
        <v>48</v>
      </c>
      <c r="B73" s="1" t="s">
        <v>139</v>
      </c>
      <c r="C73" s="1" t="s">
        <v>29</v>
      </c>
      <c r="D73" s="1"/>
      <c r="E73" s="3" t="s">
        <v>140</v>
      </c>
      <c r="F73" s="2" t="str">
        <f t="shared" si="1"/>
        <v>9</v>
      </c>
      <c r="G73" s="3" t="s">
        <v>369</v>
      </c>
      <c r="H73" s="2" t="s">
        <v>12</v>
      </c>
      <c r="I73" s="2" t="s">
        <v>12</v>
      </c>
      <c r="J73" s="2" t="s">
        <v>426</v>
      </c>
    </row>
    <row r="74" spans="1:10" x14ac:dyDescent="0.3">
      <c r="A74" t="s">
        <v>13</v>
      </c>
      <c r="B74" s="1" t="s">
        <v>114</v>
      </c>
      <c r="C74" s="1" t="s">
        <v>4</v>
      </c>
      <c r="D74" s="1"/>
      <c r="E74" s="3" t="s">
        <v>115</v>
      </c>
      <c r="F74" s="2" t="str">
        <f t="shared" si="1"/>
        <v>3</v>
      </c>
      <c r="G74" s="3" t="s">
        <v>369</v>
      </c>
      <c r="H74" s="2" t="s">
        <v>12</v>
      </c>
      <c r="I74" s="2" t="s">
        <v>12</v>
      </c>
      <c r="J74" s="2" t="s">
        <v>426</v>
      </c>
    </row>
    <row r="75" spans="1:10" x14ac:dyDescent="0.3">
      <c r="A75" t="s">
        <v>236</v>
      </c>
      <c r="B75" s="1" t="s">
        <v>237</v>
      </c>
      <c r="C75" s="1" t="s">
        <v>4</v>
      </c>
      <c r="D75" s="1"/>
      <c r="E75" s="3" t="s">
        <v>238</v>
      </c>
      <c r="F75" s="2" t="str">
        <f t="shared" si="1"/>
        <v>6</v>
      </c>
      <c r="G75" s="3" t="s">
        <v>369</v>
      </c>
      <c r="H75" s="2" t="s">
        <v>12</v>
      </c>
      <c r="I75" s="2" t="s">
        <v>12</v>
      </c>
      <c r="J75" s="2" t="s">
        <v>426</v>
      </c>
    </row>
    <row r="76" spans="1:10" x14ac:dyDescent="0.3">
      <c r="A76" t="s">
        <v>92</v>
      </c>
      <c r="B76" s="1" t="s">
        <v>234</v>
      </c>
      <c r="C76" s="1" t="s">
        <v>4</v>
      </c>
      <c r="D76" s="1"/>
      <c r="E76" s="3" t="s">
        <v>235</v>
      </c>
      <c r="F76" s="2" t="str">
        <f t="shared" si="1"/>
        <v>7</v>
      </c>
      <c r="G76" s="3" t="s">
        <v>369</v>
      </c>
      <c r="H76" s="2" t="s">
        <v>12</v>
      </c>
      <c r="I76" s="2" t="s">
        <v>12</v>
      </c>
      <c r="J76" s="2" t="s">
        <v>426</v>
      </c>
    </row>
    <row r="77" spans="1:10" x14ac:dyDescent="0.3">
      <c r="A77" t="s">
        <v>13</v>
      </c>
      <c r="B77" s="1" t="s">
        <v>85</v>
      </c>
      <c r="C77" s="1" t="s">
        <v>4</v>
      </c>
      <c r="D77" s="1"/>
      <c r="E77" s="3" t="s">
        <v>86</v>
      </c>
      <c r="F77" s="2" t="str">
        <f t="shared" si="1"/>
        <v>9</v>
      </c>
      <c r="G77" s="3" t="s">
        <v>369</v>
      </c>
      <c r="H77" s="2" t="s">
        <v>12</v>
      </c>
      <c r="I77" s="2" t="s">
        <v>12</v>
      </c>
      <c r="J77" s="2" t="s">
        <v>426</v>
      </c>
    </row>
    <row r="78" spans="1:10" x14ac:dyDescent="0.3">
      <c r="A78" t="s">
        <v>13</v>
      </c>
      <c r="B78" s="1" t="s">
        <v>173</v>
      </c>
      <c r="C78" s="1" t="s">
        <v>4</v>
      </c>
      <c r="D78" s="1"/>
      <c r="E78" s="3" t="s">
        <v>174</v>
      </c>
      <c r="F78" s="2" t="str">
        <f t="shared" si="1"/>
        <v>5</v>
      </c>
      <c r="G78" s="3" t="s">
        <v>369</v>
      </c>
      <c r="H78" s="2" t="s">
        <v>12</v>
      </c>
      <c r="I78" s="2" t="s">
        <v>12</v>
      </c>
      <c r="J78" s="2" t="s">
        <v>426</v>
      </c>
    </row>
    <row r="79" spans="1:10" x14ac:dyDescent="0.3">
      <c r="A79" t="s">
        <v>31</v>
      </c>
      <c r="B79" s="1" t="s">
        <v>96</v>
      </c>
      <c r="C79" s="1" t="s">
        <v>4</v>
      </c>
      <c r="D79" s="1"/>
      <c r="E79" s="3" t="s">
        <v>97</v>
      </c>
      <c r="F79" s="2" t="str">
        <f t="shared" si="1"/>
        <v>7</v>
      </c>
      <c r="G79" s="3" t="s">
        <v>369</v>
      </c>
      <c r="H79" s="2" t="s">
        <v>12</v>
      </c>
      <c r="I79" s="2" t="s">
        <v>12</v>
      </c>
      <c r="J79" s="2" t="s">
        <v>426</v>
      </c>
    </row>
    <row r="80" spans="1:10" x14ac:dyDescent="0.3">
      <c r="A80" t="s">
        <v>13</v>
      </c>
      <c r="B80" s="1" t="s">
        <v>17</v>
      </c>
      <c r="C80" s="1" t="s">
        <v>4</v>
      </c>
      <c r="D80" s="1"/>
      <c r="E80" s="3" t="s">
        <v>18</v>
      </c>
      <c r="F80" s="2" t="str">
        <f t="shared" si="1"/>
        <v>0</v>
      </c>
      <c r="G80" s="3" t="s">
        <v>369</v>
      </c>
      <c r="H80" s="2" t="s">
        <v>12</v>
      </c>
      <c r="I80" s="2" t="s">
        <v>12</v>
      </c>
      <c r="J80" s="2" t="s">
        <v>426</v>
      </c>
    </row>
    <row r="81" spans="1:10" x14ac:dyDescent="0.3">
      <c r="A81" t="s">
        <v>48</v>
      </c>
      <c r="B81" s="1" t="s">
        <v>110</v>
      </c>
      <c r="C81" s="1" t="s">
        <v>29</v>
      </c>
      <c r="D81" s="1"/>
      <c r="E81" s="3" t="s">
        <v>111</v>
      </c>
      <c r="F81" s="2" t="str">
        <f t="shared" si="1"/>
        <v>2</v>
      </c>
      <c r="G81" s="3" t="s">
        <v>369</v>
      </c>
      <c r="H81" s="2" t="s">
        <v>12</v>
      </c>
      <c r="I81" s="2" t="s">
        <v>12</v>
      </c>
      <c r="J81" s="2" t="s">
        <v>426</v>
      </c>
    </row>
    <row r="82" spans="1:10" x14ac:dyDescent="0.3">
      <c r="A82" t="s">
        <v>13</v>
      </c>
      <c r="B82" s="1" t="s">
        <v>66</v>
      </c>
      <c r="C82" s="1" t="s">
        <v>16</v>
      </c>
      <c r="D82" s="1"/>
      <c r="E82" s="3" t="s">
        <v>67</v>
      </c>
      <c r="F82" s="2" t="str">
        <f t="shared" si="1"/>
        <v>4</v>
      </c>
      <c r="G82" s="3" t="s">
        <v>369</v>
      </c>
      <c r="H82" s="2" t="s">
        <v>12</v>
      </c>
      <c r="I82" s="2" t="s">
        <v>12</v>
      </c>
      <c r="J82" s="2" t="s">
        <v>426</v>
      </c>
    </row>
    <row r="83" spans="1:10" x14ac:dyDescent="0.3">
      <c r="A83" t="s">
        <v>78</v>
      </c>
      <c r="B83" s="1" t="s">
        <v>108</v>
      </c>
      <c r="C83" s="1" t="s">
        <v>4</v>
      </c>
      <c r="D83" s="1"/>
      <c r="E83" s="3" t="s">
        <v>109</v>
      </c>
      <c r="F83" s="2" t="str">
        <f t="shared" si="1"/>
        <v>0</v>
      </c>
      <c r="G83" s="3" t="s">
        <v>369</v>
      </c>
      <c r="H83" s="2" t="s">
        <v>12</v>
      </c>
      <c r="I83" s="2" t="s">
        <v>12</v>
      </c>
      <c r="J83" s="2" t="s">
        <v>426</v>
      </c>
    </row>
    <row r="84" spans="1:10" x14ac:dyDescent="0.3">
      <c r="A84" t="s">
        <v>31</v>
      </c>
      <c r="B84" s="1" t="s">
        <v>278</v>
      </c>
      <c r="C84" s="1" t="s">
        <v>4</v>
      </c>
      <c r="D84" s="1"/>
      <c r="E84" s="3" t="s">
        <v>279</v>
      </c>
      <c r="F84" s="2" t="str">
        <f t="shared" si="1"/>
        <v>4</v>
      </c>
      <c r="G84" s="3" t="s">
        <v>369</v>
      </c>
      <c r="H84" s="2" t="s">
        <v>12</v>
      </c>
      <c r="I84" s="2" t="s">
        <v>12</v>
      </c>
      <c r="J84" s="2" t="s">
        <v>426</v>
      </c>
    </row>
    <row r="85" spans="1:10" x14ac:dyDescent="0.3">
      <c r="A85" t="s">
        <v>181</v>
      </c>
      <c r="B85" s="1" t="s">
        <v>182</v>
      </c>
      <c r="C85" s="1" t="s">
        <v>184</v>
      </c>
      <c r="D85" s="1"/>
      <c r="E85" s="3" t="s">
        <v>183</v>
      </c>
      <c r="F85" s="2" t="str">
        <f t="shared" si="1"/>
        <v>2</v>
      </c>
      <c r="G85" s="3" t="s">
        <v>369</v>
      </c>
      <c r="H85" s="2" t="s">
        <v>12</v>
      </c>
      <c r="I85" s="2" t="s">
        <v>12</v>
      </c>
      <c r="J85" s="2" t="s">
        <v>426</v>
      </c>
    </row>
    <row r="86" spans="1:10" x14ac:dyDescent="0.3">
      <c r="A86" t="s">
        <v>40</v>
      </c>
      <c r="B86" s="1" t="s">
        <v>46</v>
      </c>
      <c r="C86" s="1" t="s">
        <v>4</v>
      </c>
      <c r="D86" s="1"/>
      <c r="E86" s="3" t="s">
        <v>47</v>
      </c>
      <c r="F86" s="2" t="str">
        <f t="shared" si="1"/>
        <v>3</v>
      </c>
      <c r="G86" s="3" t="s">
        <v>369</v>
      </c>
      <c r="H86" s="2" t="s">
        <v>12</v>
      </c>
      <c r="I86" s="2" t="s">
        <v>12</v>
      </c>
      <c r="J86" s="2" t="s">
        <v>426</v>
      </c>
    </row>
    <row r="87" spans="1:10" x14ac:dyDescent="0.3">
      <c r="A87" t="s">
        <v>203</v>
      </c>
      <c r="B87" s="1" t="s">
        <v>232</v>
      </c>
      <c r="C87" s="1" t="s">
        <v>4</v>
      </c>
      <c r="D87" s="1"/>
      <c r="E87" s="3" t="s">
        <v>233</v>
      </c>
      <c r="F87" s="2" t="str">
        <f t="shared" si="1"/>
        <v>8</v>
      </c>
      <c r="G87" s="3" t="s">
        <v>369</v>
      </c>
      <c r="H87" s="2" t="s">
        <v>12</v>
      </c>
      <c r="I87" s="2" t="s">
        <v>12</v>
      </c>
      <c r="J87" s="2" t="s">
        <v>426</v>
      </c>
    </row>
    <row r="88" spans="1:10" x14ac:dyDescent="0.3">
      <c r="A88" t="s">
        <v>22</v>
      </c>
      <c r="B88" s="1" t="s">
        <v>76</v>
      </c>
      <c r="C88" s="1" t="s">
        <v>4</v>
      </c>
      <c r="D88" s="1"/>
      <c r="E88" s="3" t="s">
        <v>77</v>
      </c>
      <c r="F88" s="2" t="str">
        <f t="shared" si="1"/>
        <v>0</v>
      </c>
      <c r="G88" s="3" t="s">
        <v>369</v>
      </c>
      <c r="H88" s="2" t="s">
        <v>12</v>
      </c>
      <c r="I88" s="2" t="s">
        <v>12</v>
      </c>
      <c r="J88" s="2" t="s">
        <v>426</v>
      </c>
    </row>
    <row r="89" spans="1:10" x14ac:dyDescent="0.3">
      <c r="A89" t="s">
        <v>68</v>
      </c>
      <c r="B89" s="1" t="s">
        <v>74</v>
      </c>
      <c r="C89" s="1" t="s">
        <v>29</v>
      </c>
      <c r="D89" s="1"/>
      <c r="E89" s="3" t="s">
        <v>75</v>
      </c>
      <c r="F89" s="2" t="str">
        <f t="shared" si="1"/>
        <v>0</v>
      </c>
      <c r="G89" s="3" t="s">
        <v>369</v>
      </c>
      <c r="H89" s="2" t="s">
        <v>12</v>
      </c>
      <c r="I89" s="2" t="s">
        <v>12</v>
      </c>
      <c r="J89" s="2" t="s">
        <v>426</v>
      </c>
    </row>
    <row r="90" spans="1:10" x14ac:dyDescent="0.3">
      <c r="A90" t="s">
        <v>181</v>
      </c>
      <c r="B90" s="1" t="s">
        <v>264</v>
      </c>
      <c r="C90" s="1" t="s">
        <v>29</v>
      </c>
      <c r="D90" s="1"/>
      <c r="E90" s="3" t="s">
        <v>265</v>
      </c>
      <c r="F90" s="2" t="str">
        <f t="shared" si="1"/>
        <v>6</v>
      </c>
      <c r="G90" s="3" t="s">
        <v>369</v>
      </c>
      <c r="H90" s="2" t="s">
        <v>12</v>
      </c>
      <c r="I90" s="2" t="s">
        <v>12</v>
      </c>
      <c r="J90" s="2" t="s">
        <v>426</v>
      </c>
    </row>
    <row r="91" spans="1:10" x14ac:dyDescent="0.3">
      <c r="A91" t="s">
        <v>58</v>
      </c>
      <c r="B91" s="1" t="s">
        <v>98</v>
      </c>
      <c r="C91" s="1" t="s">
        <v>4</v>
      </c>
      <c r="D91" s="1"/>
      <c r="E91" s="3" t="s">
        <v>284</v>
      </c>
      <c r="F91" s="2" t="str">
        <f t="shared" si="1"/>
        <v>5</v>
      </c>
      <c r="G91" s="3" t="s">
        <v>369</v>
      </c>
      <c r="H91" s="2" t="s">
        <v>12</v>
      </c>
      <c r="I91" s="2" t="s">
        <v>12</v>
      </c>
      <c r="J91" s="2" t="s">
        <v>426</v>
      </c>
    </row>
    <row r="92" spans="1:10" x14ac:dyDescent="0.3">
      <c r="A92" t="s">
        <v>58</v>
      </c>
      <c r="B92" s="1" t="s">
        <v>148</v>
      </c>
      <c r="C92" s="1" t="s">
        <v>4</v>
      </c>
      <c r="D92" s="1"/>
      <c r="E92" s="3" t="s">
        <v>149</v>
      </c>
      <c r="F92" s="2" t="str">
        <f t="shared" si="1"/>
        <v>0</v>
      </c>
      <c r="G92" s="3" t="s">
        <v>369</v>
      </c>
      <c r="H92" s="2" t="s">
        <v>12</v>
      </c>
      <c r="I92" s="2" t="s">
        <v>12</v>
      </c>
      <c r="J92" s="2" t="s">
        <v>426</v>
      </c>
    </row>
    <row r="93" spans="1:10" x14ac:dyDescent="0.3">
      <c r="A93" t="s">
        <v>119</v>
      </c>
      <c r="B93" s="1" t="s">
        <v>257</v>
      </c>
      <c r="C93" s="1" t="s">
        <v>4</v>
      </c>
      <c r="D93" s="1"/>
      <c r="E93" s="3" t="s">
        <v>258</v>
      </c>
      <c r="F93" s="2" t="str">
        <f t="shared" si="1"/>
        <v>4</v>
      </c>
      <c r="G93" s="3" t="s">
        <v>369</v>
      </c>
      <c r="H93" s="2" t="s">
        <v>12</v>
      </c>
      <c r="I93" s="2" t="s">
        <v>12</v>
      </c>
      <c r="J93" s="2" t="s">
        <v>426</v>
      </c>
    </row>
    <row r="94" spans="1:10" x14ac:dyDescent="0.3">
      <c r="A94" t="s">
        <v>31</v>
      </c>
      <c r="B94" s="1" t="s">
        <v>185</v>
      </c>
      <c r="C94" s="1" t="s">
        <v>29</v>
      </c>
      <c r="D94" s="1"/>
      <c r="E94" s="3" t="s">
        <v>186</v>
      </c>
      <c r="F94" s="2" t="str">
        <f t="shared" si="1"/>
        <v>5</v>
      </c>
      <c r="G94" s="3" t="s">
        <v>369</v>
      </c>
      <c r="H94" s="2" t="s">
        <v>12</v>
      </c>
      <c r="I94" s="2" t="s">
        <v>12</v>
      </c>
      <c r="J94" s="2" t="s">
        <v>426</v>
      </c>
    </row>
    <row r="95" spans="1:10" x14ac:dyDescent="0.3">
      <c r="A95" t="s">
        <v>8</v>
      </c>
      <c r="B95" s="1" t="s">
        <v>211</v>
      </c>
      <c r="C95" s="1" t="s">
        <v>29</v>
      </c>
      <c r="D95" s="1"/>
      <c r="E95" s="3" t="s">
        <v>212</v>
      </c>
      <c r="F95" s="2" t="str">
        <f t="shared" si="1"/>
        <v>4</v>
      </c>
      <c r="G95" s="3" t="s">
        <v>369</v>
      </c>
      <c r="H95" s="2" t="s">
        <v>12</v>
      </c>
      <c r="I95" s="2" t="s">
        <v>12</v>
      </c>
      <c r="J95" s="2" t="s">
        <v>426</v>
      </c>
    </row>
    <row r="96" spans="1:10" x14ac:dyDescent="0.3">
      <c r="A96" t="s">
        <v>203</v>
      </c>
      <c r="B96" s="1" t="s">
        <v>210</v>
      </c>
      <c r="C96" s="1" t="s">
        <v>4</v>
      </c>
      <c r="D96" s="1"/>
      <c r="E96" s="3" t="s">
        <v>239</v>
      </c>
      <c r="F96" s="2" t="str">
        <f t="shared" si="1"/>
        <v>5</v>
      </c>
      <c r="G96" s="3" t="s">
        <v>369</v>
      </c>
      <c r="H96" s="2" t="s">
        <v>12</v>
      </c>
      <c r="I96" s="2" t="s">
        <v>12</v>
      </c>
      <c r="J96" s="2" t="s">
        <v>426</v>
      </c>
    </row>
    <row r="97" spans="1:10" x14ac:dyDescent="0.3">
      <c r="A97" t="s">
        <v>8</v>
      </c>
      <c r="B97" s="1" t="s">
        <v>9</v>
      </c>
      <c r="C97" s="1" t="s">
        <v>4</v>
      </c>
      <c r="D97" s="1"/>
      <c r="E97" s="3" t="s">
        <v>166</v>
      </c>
      <c r="F97" s="2" t="str">
        <f t="shared" si="1"/>
        <v>3</v>
      </c>
      <c r="G97" s="3" t="s">
        <v>369</v>
      </c>
      <c r="H97" s="2" t="s">
        <v>12</v>
      </c>
      <c r="I97" s="2" t="s">
        <v>12</v>
      </c>
      <c r="J97" s="2" t="s">
        <v>426</v>
      </c>
    </row>
    <row r="98" spans="1:10" x14ac:dyDescent="0.3">
      <c r="A98" t="s">
        <v>19</v>
      </c>
      <c r="B98" s="1" t="s">
        <v>35</v>
      </c>
      <c r="C98" s="1" t="s">
        <v>16</v>
      </c>
      <c r="D98" s="1"/>
      <c r="E98" s="3" t="s">
        <v>36</v>
      </c>
      <c r="F98" s="2" t="str">
        <f t="shared" si="1"/>
        <v>5</v>
      </c>
      <c r="G98" s="3" t="s">
        <v>369</v>
      </c>
      <c r="H98" s="2" t="s">
        <v>12</v>
      </c>
      <c r="I98" s="2" t="s">
        <v>12</v>
      </c>
      <c r="J98" s="2" t="s">
        <v>426</v>
      </c>
    </row>
    <row r="99" spans="1:10" x14ac:dyDescent="0.3">
      <c r="A99" t="s">
        <v>19</v>
      </c>
      <c r="B99" s="1" t="s">
        <v>104</v>
      </c>
      <c r="C99" s="1" t="s">
        <v>16</v>
      </c>
      <c r="D99" s="1"/>
      <c r="E99" s="3" t="s">
        <v>105</v>
      </c>
      <c r="F99" s="2" t="str">
        <f t="shared" si="1"/>
        <v>5</v>
      </c>
      <c r="G99" s="3" t="s">
        <v>369</v>
      </c>
      <c r="H99" s="2" t="s">
        <v>12</v>
      </c>
      <c r="I99" s="2" t="s">
        <v>12</v>
      </c>
      <c r="J99" s="2" t="s">
        <v>426</v>
      </c>
    </row>
    <row r="100" spans="1:10" x14ac:dyDescent="0.3">
      <c r="A100" t="s">
        <v>13</v>
      </c>
      <c r="B100" s="1" t="s">
        <v>133</v>
      </c>
      <c r="C100" s="1" t="s">
        <v>29</v>
      </c>
      <c r="D100" s="1"/>
      <c r="E100" s="3" t="s">
        <v>134</v>
      </c>
      <c r="F100" s="2" t="str">
        <f t="shared" si="1"/>
        <v>8</v>
      </c>
      <c r="G100" s="3" t="s">
        <v>369</v>
      </c>
      <c r="H100" s="2" t="s">
        <v>12</v>
      </c>
      <c r="I100" s="2" t="s">
        <v>12</v>
      </c>
      <c r="J100" s="2" t="s">
        <v>426</v>
      </c>
    </row>
    <row r="101" spans="1:10" x14ac:dyDescent="0.3">
      <c r="A101" t="s">
        <v>71</v>
      </c>
      <c r="B101" s="1" t="s">
        <v>206</v>
      </c>
      <c r="C101" s="1" t="s">
        <v>4</v>
      </c>
      <c r="D101" s="1"/>
      <c r="E101" s="3" t="s">
        <v>207</v>
      </c>
      <c r="F101" s="2" t="str">
        <f t="shared" si="1"/>
        <v>7</v>
      </c>
      <c r="G101" s="3" t="s">
        <v>369</v>
      </c>
      <c r="H101" s="2" t="s">
        <v>12</v>
      </c>
      <c r="I101" s="2" t="s">
        <v>12</v>
      </c>
      <c r="J101" s="2" t="s">
        <v>426</v>
      </c>
    </row>
    <row r="102" spans="1:10" x14ac:dyDescent="0.3">
      <c r="A102" t="s">
        <v>63</v>
      </c>
      <c r="B102" s="1" t="s">
        <v>194</v>
      </c>
      <c r="C102" s="1" t="s">
        <v>4</v>
      </c>
      <c r="D102" s="1"/>
      <c r="E102" s="3" t="s">
        <v>195</v>
      </c>
      <c r="F102" s="2" t="str">
        <f t="shared" si="1"/>
        <v>6</v>
      </c>
      <c r="G102" s="3" t="s">
        <v>369</v>
      </c>
      <c r="H102" s="2" t="s">
        <v>12</v>
      </c>
      <c r="I102" s="2" t="s">
        <v>12</v>
      </c>
      <c r="J102" s="2" t="s">
        <v>426</v>
      </c>
    </row>
    <row r="103" spans="1:10" x14ac:dyDescent="0.3">
      <c r="A103" t="s">
        <v>145</v>
      </c>
      <c r="B103" s="1" t="s">
        <v>146</v>
      </c>
      <c r="C103" s="1" t="s">
        <v>4</v>
      </c>
      <c r="D103" s="1"/>
      <c r="E103" s="3" t="s">
        <v>147</v>
      </c>
      <c r="F103" s="2" t="str">
        <f t="shared" si="1"/>
        <v>0</v>
      </c>
      <c r="G103" s="3" t="s">
        <v>369</v>
      </c>
      <c r="H103" s="2" t="s">
        <v>12</v>
      </c>
      <c r="I103" s="2" t="s">
        <v>12</v>
      </c>
      <c r="J103" s="2" t="s">
        <v>426</v>
      </c>
    </row>
    <row r="104" spans="1:10" x14ac:dyDescent="0.3">
      <c r="A104" t="s">
        <v>19</v>
      </c>
      <c r="B104" s="1" t="s">
        <v>38</v>
      </c>
      <c r="C104" s="1" t="s">
        <v>4</v>
      </c>
      <c r="D104" s="1"/>
      <c r="E104" s="3" t="s">
        <v>39</v>
      </c>
      <c r="F104" s="2" t="str">
        <f t="shared" si="1"/>
        <v>7</v>
      </c>
      <c r="G104" s="3" t="s">
        <v>369</v>
      </c>
      <c r="H104" s="2" t="s">
        <v>12</v>
      </c>
      <c r="I104" s="2" t="s">
        <v>12</v>
      </c>
      <c r="J104" s="2" t="s">
        <v>426</v>
      </c>
    </row>
    <row r="105" spans="1:10" x14ac:dyDescent="0.3">
      <c r="A105" t="s">
        <v>250</v>
      </c>
      <c r="B105" s="1" t="s">
        <v>249</v>
      </c>
      <c r="C105" s="1" t="s">
        <v>29</v>
      </c>
      <c r="D105" s="1"/>
      <c r="E105" s="3" t="s">
        <v>251</v>
      </c>
      <c r="F105" s="2" t="str">
        <f t="shared" si="1"/>
        <v>2</v>
      </c>
      <c r="G105" s="3" t="s">
        <v>369</v>
      </c>
      <c r="H105" s="2" t="s">
        <v>12</v>
      </c>
      <c r="I105" s="2" t="s">
        <v>12</v>
      </c>
      <c r="J105" s="2" t="s">
        <v>426</v>
      </c>
    </row>
    <row r="106" spans="1:10" x14ac:dyDescent="0.3">
      <c r="A106" t="s">
        <v>275</v>
      </c>
      <c r="B106" s="1" t="s">
        <v>276</v>
      </c>
      <c r="C106" s="1" t="s">
        <v>4</v>
      </c>
      <c r="D106" s="1"/>
      <c r="E106" s="3" t="s">
        <v>277</v>
      </c>
      <c r="F106" s="2" t="str">
        <f t="shared" si="1"/>
        <v>7</v>
      </c>
      <c r="G106" s="3" t="s">
        <v>369</v>
      </c>
      <c r="H106" s="2" t="s">
        <v>12</v>
      </c>
      <c r="I106" s="2" t="s">
        <v>12</v>
      </c>
      <c r="J106" s="2" t="s">
        <v>426</v>
      </c>
    </row>
    <row r="107" spans="1:10" x14ac:dyDescent="0.3">
      <c r="A107" t="s">
        <v>268</v>
      </c>
      <c r="B107" s="1" t="s">
        <v>269</v>
      </c>
      <c r="C107" s="1" t="s">
        <v>4</v>
      </c>
      <c r="D107" s="1"/>
      <c r="E107" s="3" t="s">
        <v>270</v>
      </c>
      <c r="F107" s="2" t="str">
        <f t="shared" si="1"/>
        <v>7</v>
      </c>
      <c r="G107" s="3" t="s">
        <v>369</v>
      </c>
      <c r="H107" s="2" t="s">
        <v>12</v>
      </c>
      <c r="I107" s="2" t="s">
        <v>12</v>
      </c>
      <c r="J107" s="2" t="s">
        <v>426</v>
      </c>
    </row>
    <row r="108" spans="1:10" x14ac:dyDescent="0.3">
      <c r="A108" t="s">
        <v>92</v>
      </c>
      <c r="B108" s="1" t="s">
        <v>164</v>
      </c>
      <c r="C108" s="1" t="s">
        <v>4</v>
      </c>
      <c r="D108" s="1"/>
      <c r="E108" s="3" t="s">
        <v>165</v>
      </c>
      <c r="F108" s="2" t="str">
        <f t="shared" si="1"/>
        <v>0</v>
      </c>
      <c r="G108" s="3" t="s">
        <v>369</v>
      </c>
      <c r="H108" s="2" t="s">
        <v>12</v>
      </c>
      <c r="I108" s="2" t="s">
        <v>12</v>
      </c>
      <c r="J108" s="2" t="s">
        <v>426</v>
      </c>
    </row>
    <row r="109" spans="1:10" x14ac:dyDescent="0.3">
      <c r="A109" t="s">
        <v>40</v>
      </c>
      <c r="B109" s="1" t="s">
        <v>159</v>
      </c>
      <c r="C109" s="1" t="s">
        <v>4</v>
      </c>
      <c r="D109" s="1"/>
      <c r="E109" s="3" t="s">
        <v>160</v>
      </c>
      <c r="F109" s="2" t="str">
        <f t="shared" si="1"/>
        <v>0</v>
      </c>
      <c r="G109" s="3" t="s">
        <v>369</v>
      </c>
      <c r="H109" s="2" t="s">
        <v>12</v>
      </c>
      <c r="I109" s="2" t="s">
        <v>12</v>
      </c>
      <c r="J109" s="2" t="s">
        <v>426</v>
      </c>
    </row>
    <row r="110" spans="1:10" x14ac:dyDescent="0.3">
      <c r="A110" t="s">
        <v>40</v>
      </c>
      <c r="B110" s="1" t="s">
        <v>159</v>
      </c>
      <c r="C110" s="1" t="s">
        <v>4</v>
      </c>
      <c r="D110" s="1"/>
      <c r="E110" s="3" t="s">
        <v>161</v>
      </c>
      <c r="F110" s="2" t="str">
        <f t="shared" si="1"/>
        <v>6</v>
      </c>
      <c r="G110" s="3" t="s">
        <v>369</v>
      </c>
      <c r="H110" s="2" t="s">
        <v>12</v>
      </c>
      <c r="I110" s="2" t="s">
        <v>12</v>
      </c>
      <c r="J110" s="2" t="s">
        <v>426</v>
      </c>
    </row>
    <row r="111" spans="1:10" x14ac:dyDescent="0.3">
      <c r="A111" t="s">
        <v>5</v>
      </c>
      <c r="B111" s="1" t="s">
        <v>6</v>
      </c>
      <c r="C111" s="1" t="s">
        <v>4</v>
      </c>
      <c r="D111" s="1"/>
      <c r="E111" s="3" t="s">
        <v>7</v>
      </c>
      <c r="F111" s="2" t="str">
        <f t="shared" si="1"/>
        <v>6</v>
      </c>
      <c r="G111" s="3" t="s">
        <v>369</v>
      </c>
      <c r="H111" s="2" t="s">
        <v>12</v>
      </c>
      <c r="I111" s="2" t="s">
        <v>12</v>
      </c>
      <c r="J111" s="2" t="s">
        <v>426</v>
      </c>
    </row>
    <row r="112" spans="1:10" x14ac:dyDescent="0.3">
      <c r="A112" t="s">
        <v>58</v>
      </c>
      <c r="B112" s="1" t="s">
        <v>59</v>
      </c>
      <c r="C112" s="1" t="s">
        <v>16</v>
      </c>
      <c r="D112" s="1"/>
      <c r="E112" s="3" t="s">
        <v>60</v>
      </c>
      <c r="F112" s="2" t="str">
        <f t="shared" si="1"/>
        <v>4</v>
      </c>
      <c r="G112" s="3" t="s">
        <v>369</v>
      </c>
      <c r="H112" s="2" t="s">
        <v>12</v>
      </c>
      <c r="I112" s="2" t="s">
        <v>12</v>
      </c>
      <c r="J112" s="2" t="s">
        <v>426</v>
      </c>
    </row>
    <row r="113" spans="1:10" x14ac:dyDescent="0.3">
      <c r="A113" t="s">
        <v>58</v>
      </c>
      <c r="B113" s="1" t="s">
        <v>62</v>
      </c>
      <c r="C113" s="1" t="s">
        <v>16</v>
      </c>
      <c r="D113" s="1"/>
      <c r="E113" s="3" t="s">
        <v>61</v>
      </c>
      <c r="F113" s="2" t="str">
        <f t="shared" si="1"/>
        <v>0</v>
      </c>
      <c r="G113" s="3" t="s">
        <v>369</v>
      </c>
      <c r="H113" s="2" t="s">
        <v>12</v>
      </c>
      <c r="I113" s="2" t="s">
        <v>12</v>
      </c>
      <c r="J113" s="2" t="s">
        <v>426</v>
      </c>
    </row>
    <row r="114" spans="1:10" x14ac:dyDescent="0.3">
      <c r="A114" t="s">
        <v>31</v>
      </c>
      <c r="B114" s="1" t="s">
        <v>112</v>
      </c>
      <c r="C114" s="1" t="s">
        <v>4</v>
      </c>
      <c r="D114" s="1"/>
      <c r="E114" s="3" t="s">
        <v>113</v>
      </c>
      <c r="F114" s="2" t="str">
        <f t="shared" si="1"/>
        <v>4</v>
      </c>
      <c r="G114" s="3" t="s">
        <v>369</v>
      </c>
      <c r="H114" s="2" t="s">
        <v>12</v>
      </c>
      <c r="I114" s="2" t="s">
        <v>12</v>
      </c>
      <c r="J114" s="2" t="s">
        <v>426</v>
      </c>
    </row>
    <row r="115" spans="1:10" x14ac:dyDescent="0.3">
      <c r="A115" t="s">
        <v>40</v>
      </c>
      <c r="B115" s="1" t="s">
        <v>41</v>
      </c>
      <c r="C115" s="1" t="s">
        <v>4</v>
      </c>
      <c r="D115" s="1"/>
      <c r="E115" s="3" t="s">
        <v>42</v>
      </c>
      <c r="F115" s="2" t="str">
        <f t="shared" si="1"/>
        <v>4</v>
      </c>
      <c r="G115" s="3" t="s">
        <v>369</v>
      </c>
      <c r="H115" s="2" t="s">
        <v>12</v>
      </c>
      <c r="I115" s="2" t="s">
        <v>12</v>
      </c>
      <c r="J115" s="2" t="s">
        <v>426</v>
      </c>
    </row>
    <row r="116" spans="1:10" x14ac:dyDescent="0.3">
      <c r="A116" t="s">
        <v>31</v>
      </c>
      <c r="B116" s="1" t="s">
        <v>116</v>
      </c>
      <c r="C116" s="1" t="s">
        <v>4</v>
      </c>
      <c r="D116" s="1"/>
      <c r="E116" s="3" t="s">
        <v>117</v>
      </c>
      <c r="F116" s="2" t="str">
        <f t="shared" si="1"/>
        <v>7</v>
      </c>
      <c r="G116" s="3" t="s">
        <v>369</v>
      </c>
      <c r="H116" s="2" t="s">
        <v>12</v>
      </c>
      <c r="I116" s="2" t="s">
        <v>12</v>
      </c>
      <c r="J116" s="2" t="s">
        <v>426</v>
      </c>
    </row>
    <row r="117" spans="1:10" x14ac:dyDescent="0.3">
      <c r="A117" t="s">
        <v>31</v>
      </c>
      <c r="B117" s="1" t="s">
        <v>116</v>
      </c>
      <c r="C117" s="1" t="s">
        <v>4</v>
      </c>
      <c r="D117" s="1"/>
      <c r="E117" s="3" t="s">
        <v>118</v>
      </c>
      <c r="F117" s="2" t="str">
        <f t="shared" si="1"/>
        <v>7</v>
      </c>
      <c r="G117" s="3" t="s">
        <v>369</v>
      </c>
      <c r="H117" s="2" t="s">
        <v>12</v>
      </c>
      <c r="I117" s="2" t="s">
        <v>12</v>
      </c>
      <c r="J117" s="2" t="s">
        <v>426</v>
      </c>
    </row>
    <row r="118" spans="1:10" x14ac:dyDescent="0.3">
      <c r="A118" t="s">
        <v>87</v>
      </c>
      <c r="B118" s="1" t="s">
        <v>126</v>
      </c>
      <c r="C118" s="1" t="s">
        <v>4</v>
      </c>
      <c r="D118" s="1"/>
      <c r="E118" s="3" t="s">
        <v>408</v>
      </c>
      <c r="F118" s="2" t="str">
        <f t="shared" si="1"/>
        <v>3</v>
      </c>
      <c r="G118" s="3" t="s">
        <v>369</v>
      </c>
      <c r="H118" s="2" t="s">
        <v>12</v>
      </c>
      <c r="I118" s="2" t="s">
        <v>12</v>
      </c>
      <c r="J118" s="2" t="s">
        <v>426</v>
      </c>
    </row>
    <row r="119" spans="1:10" x14ac:dyDescent="0.3">
      <c r="A119" t="s">
        <v>63</v>
      </c>
      <c r="B119" s="1" t="s">
        <v>143</v>
      </c>
      <c r="C119" s="1" t="s">
        <v>29</v>
      </c>
      <c r="D119" s="1"/>
      <c r="E119" s="3" t="s">
        <v>144</v>
      </c>
      <c r="F119" s="2" t="str">
        <f t="shared" si="1"/>
        <v>2</v>
      </c>
      <c r="G119" s="3" t="s">
        <v>369</v>
      </c>
      <c r="H119" s="2" t="s">
        <v>12</v>
      </c>
      <c r="I119" s="2" t="s">
        <v>12</v>
      </c>
      <c r="J119" s="2" t="s">
        <v>426</v>
      </c>
    </row>
    <row r="120" spans="1:10" x14ac:dyDescent="0.3">
      <c r="A120" t="s">
        <v>78</v>
      </c>
      <c r="B120" s="1" t="s">
        <v>153</v>
      </c>
      <c r="C120" s="1" t="s">
        <v>4</v>
      </c>
      <c r="D120" s="1"/>
      <c r="E120" s="3" t="s">
        <v>154</v>
      </c>
      <c r="F120" s="2" t="str">
        <f t="shared" si="1"/>
        <v>5</v>
      </c>
      <c r="G120" s="3" t="s">
        <v>369</v>
      </c>
      <c r="H120" s="2" t="s">
        <v>12</v>
      </c>
      <c r="I120" s="2" t="s">
        <v>12</v>
      </c>
      <c r="J120" s="2" t="s">
        <v>426</v>
      </c>
    </row>
    <row r="121" spans="1:10" x14ac:dyDescent="0.3">
      <c r="A121" t="s">
        <v>150</v>
      </c>
      <c r="B121" s="1" t="s">
        <v>262</v>
      </c>
      <c r="C121" s="1" t="s">
        <v>29</v>
      </c>
      <c r="D121" s="1"/>
      <c r="E121" s="3" t="s">
        <v>263</v>
      </c>
      <c r="F121" s="2" t="str">
        <f t="shared" si="1"/>
        <v>4</v>
      </c>
      <c r="G121" s="3" t="s">
        <v>369</v>
      </c>
      <c r="H121" s="2" t="s">
        <v>12</v>
      </c>
      <c r="I121" s="2" t="s">
        <v>12</v>
      </c>
      <c r="J121" s="2" t="s">
        <v>426</v>
      </c>
    </row>
    <row r="122" spans="1:10" x14ac:dyDescent="0.3">
      <c r="A122" t="s">
        <v>203</v>
      </c>
      <c r="B122" s="1" t="s">
        <v>287</v>
      </c>
      <c r="C122" s="1" t="s">
        <v>4</v>
      </c>
      <c r="D122" s="1"/>
      <c r="E122" s="3" t="s">
        <v>288</v>
      </c>
      <c r="F122" s="2" t="str">
        <f t="shared" si="1"/>
        <v>8</v>
      </c>
      <c r="G122" s="3" t="s">
        <v>369</v>
      </c>
      <c r="H122" s="2" t="s">
        <v>12</v>
      </c>
      <c r="I122" s="2" t="s">
        <v>12</v>
      </c>
      <c r="J122" s="2" t="s">
        <v>427</v>
      </c>
    </row>
    <row r="123" spans="1:10" x14ac:dyDescent="0.3">
      <c r="A123" s="1" t="s">
        <v>78</v>
      </c>
      <c r="B123" s="1" t="s">
        <v>298</v>
      </c>
      <c r="C123" s="1" t="s">
        <v>26</v>
      </c>
      <c r="D123" s="1" t="s">
        <v>214</v>
      </c>
      <c r="E123" s="3" t="s">
        <v>289</v>
      </c>
      <c r="F123" s="2" t="str">
        <f t="shared" si="1"/>
        <v>6</v>
      </c>
      <c r="G123" s="3" t="s">
        <v>369</v>
      </c>
      <c r="H123" s="2" t="s">
        <v>12</v>
      </c>
      <c r="I123" s="2" t="s">
        <v>12</v>
      </c>
      <c r="J123" s="2" t="s">
        <v>427</v>
      </c>
    </row>
    <row r="124" spans="1:10" x14ac:dyDescent="0.3">
      <c r="A124" s="1" t="s">
        <v>78</v>
      </c>
      <c r="B124" s="1" t="s">
        <v>297</v>
      </c>
      <c r="C124" s="1" t="s">
        <v>26</v>
      </c>
      <c r="D124" s="1" t="s">
        <v>214</v>
      </c>
      <c r="E124" s="3" t="s">
        <v>290</v>
      </c>
      <c r="F124" s="2" t="str">
        <f t="shared" si="1"/>
        <v>4</v>
      </c>
      <c r="G124" s="3" t="s">
        <v>369</v>
      </c>
      <c r="H124" s="2" t="s">
        <v>12</v>
      </c>
      <c r="I124" s="2" t="s">
        <v>12</v>
      </c>
      <c r="J124" s="2" t="s">
        <v>427</v>
      </c>
    </row>
    <row r="125" spans="1:10" x14ac:dyDescent="0.3">
      <c r="A125" s="1" t="s">
        <v>187</v>
      </c>
      <c r="B125" s="1" t="s">
        <v>299</v>
      </c>
      <c r="C125" s="1" t="s">
        <v>16</v>
      </c>
      <c r="D125" s="1"/>
      <c r="E125" s="3" t="s">
        <v>291</v>
      </c>
      <c r="F125" s="2" t="str">
        <f t="shared" si="1"/>
        <v>6</v>
      </c>
      <c r="G125" s="3" t="s">
        <v>369</v>
      </c>
      <c r="H125" s="2" t="s">
        <v>12</v>
      </c>
      <c r="I125" s="2" t="s">
        <v>12</v>
      </c>
      <c r="J125" s="2" t="s">
        <v>427</v>
      </c>
    </row>
    <row r="126" spans="1:10" x14ac:dyDescent="0.3">
      <c r="A126" s="1" t="s">
        <v>292</v>
      </c>
      <c r="B126" s="1" t="s">
        <v>293</v>
      </c>
      <c r="C126" s="1" t="s">
        <v>16</v>
      </c>
      <c r="D126" s="1"/>
      <c r="E126" s="3" t="s">
        <v>294</v>
      </c>
      <c r="F126" s="2" t="str">
        <f t="shared" si="1"/>
        <v>6</v>
      </c>
      <c r="G126" s="3" t="s">
        <v>369</v>
      </c>
      <c r="H126" s="2" t="s">
        <v>12</v>
      </c>
      <c r="I126" s="2" t="s">
        <v>12</v>
      </c>
      <c r="J126" s="2" t="s">
        <v>427</v>
      </c>
    </row>
    <row r="127" spans="1:10" x14ac:dyDescent="0.3">
      <c r="A127" s="1" t="s">
        <v>78</v>
      </c>
      <c r="B127" s="1" t="s">
        <v>295</v>
      </c>
      <c r="C127" s="1" t="s">
        <v>26</v>
      </c>
      <c r="D127" s="1" t="s">
        <v>81</v>
      </c>
      <c r="E127" s="3" t="s">
        <v>296</v>
      </c>
      <c r="F127" s="2" t="str">
        <f t="shared" si="1"/>
        <v>5</v>
      </c>
      <c r="G127" s="3" t="s">
        <v>369</v>
      </c>
      <c r="H127" s="2" t="s">
        <v>12</v>
      </c>
      <c r="I127" s="2" t="s">
        <v>12</v>
      </c>
      <c r="J127" s="2" t="s">
        <v>427</v>
      </c>
    </row>
    <row r="128" spans="1:10" x14ac:dyDescent="0.3">
      <c r="A128" s="1" t="s">
        <v>78</v>
      </c>
      <c r="B128" s="1" t="s">
        <v>300</v>
      </c>
      <c r="C128" s="1" t="s">
        <v>26</v>
      </c>
      <c r="D128" s="1" t="s">
        <v>81</v>
      </c>
      <c r="E128" s="3" t="s">
        <v>312</v>
      </c>
      <c r="F128" s="2" t="str">
        <f t="shared" si="1"/>
        <v>1</v>
      </c>
      <c r="G128" s="3" t="s">
        <v>369</v>
      </c>
      <c r="H128" s="2" t="s">
        <v>12</v>
      </c>
      <c r="I128" s="2" t="s">
        <v>12</v>
      </c>
      <c r="J128" s="2" t="s">
        <v>427</v>
      </c>
    </row>
    <row r="129" spans="1:10" x14ac:dyDescent="0.3">
      <c r="A129" s="1" t="s">
        <v>5</v>
      </c>
      <c r="B129" s="1" t="s">
        <v>301</v>
      </c>
      <c r="C129" s="1" t="s">
        <v>16</v>
      </c>
      <c r="D129" s="1"/>
      <c r="E129" s="3" t="s">
        <v>302</v>
      </c>
      <c r="F129" s="2" t="str">
        <f t="shared" si="1"/>
        <v>0</v>
      </c>
      <c r="G129" s="3" t="s">
        <v>369</v>
      </c>
      <c r="H129" s="2" t="s">
        <v>12</v>
      </c>
      <c r="I129" s="2" t="s">
        <v>12</v>
      </c>
      <c r="J129" s="2" t="s">
        <v>427</v>
      </c>
    </row>
    <row r="130" spans="1:10" x14ac:dyDescent="0.3">
      <c r="A130" s="1" t="s">
        <v>187</v>
      </c>
      <c r="B130" s="1" t="s">
        <v>303</v>
      </c>
      <c r="C130" s="1" t="s">
        <v>29</v>
      </c>
      <c r="D130" s="1"/>
      <c r="E130" s="3" t="s">
        <v>304</v>
      </c>
      <c r="F130" s="2" t="str">
        <f t="shared" si="1"/>
        <v>9</v>
      </c>
      <c r="G130" s="3" t="s">
        <v>369</v>
      </c>
      <c r="H130" s="2" t="s">
        <v>12</v>
      </c>
      <c r="I130" s="2" t="s">
        <v>12</v>
      </c>
      <c r="J130" s="2" t="s">
        <v>427</v>
      </c>
    </row>
    <row r="131" spans="1:10" x14ac:dyDescent="0.3">
      <c r="A131" s="1" t="s">
        <v>58</v>
      </c>
      <c r="B131" s="1" t="s">
        <v>305</v>
      </c>
      <c r="C131" s="1" t="s">
        <v>16</v>
      </c>
      <c r="D131" s="1"/>
      <c r="E131" s="3" t="s">
        <v>306</v>
      </c>
      <c r="F131" s="2" t="str">
        <f t="shared" ref="F131:F194" si="2">RIGHT(SUBSTITUTE(SUBSTITUTE(TRIM(E131)," ",""),"-",""),1)</f>
        <v>8</v>
      </c>
      <c r="G131" s="3" t="s">
        <v>369</v>
      </c>
      <c r="H131" s="2" t="s">
        <v>12</v>
      </c>
      <c r="I131" s="2" t="s">
        <v>12</v>
      </c>
      <c r="J131" s="2" t="s">
        <v>427</v>
      </c>
    </row>
    <row r="132" spans="1:10" x14ac:dyDescent="0.3">
      <c r="A132" s="1" t="s">
        <v>58</v>
      </c>
      <c r="B132" s="1" t="s">
        <v>305</v>
      </c>
      <c r="C132" s="1" t="s">
        <v>16</v>
      </c>
      <c r="D132" s="1"/>
      <c r="E132" s="3" t="s">
        <v>307</v>
      </c>
      <c r="F132" s="2" t="str">
        <f t="shared" si="2"/>
        <v>3</v>
      </c>
      <c r="G132" s="3" t="s">
        <v>369</v>
      </c>
      <c r="H132" s="2" t="s">
        <v>12</v>
      </c>
      <c r="I132" s="2" t="s">
        <v>12</v>
      </c>
      <c r="J132" s="2" t="s">
        <v>427</v>
      </c>
    </row>
    <row r="133" spans="1:10" x14ac:dyDescent="0.3">
      <c r="A133" s="1" t="s">
        <v>78</v>
      </c>
      <c r="B133" s="1" t="s">
        <v>308</v>
      </c>
      <c r="C133" s="1" t="s">
        <v>26</v>
      </c>
      <c r="D133" s="1" t="s">
        <v>214</v>
      </c>
      <c r="E133" s="3" t="s">
        <v>309</v>
      </c>
      <c r="F133" s="2" t="str">
        <f t="shared" si="2"/>
        <v>7</v>
      </c>
      <c r="G133" s="3" t="s">
        <v>369</v>
      </c>
      <c r="H133" s="2" t="s">
        <v>12</v>
      </c>
      <c r="I133" s="2" t="s">
        <v>12</v>
      </c>
      <c r="J133" s="2" t="s">
        <v>427</v>
      </c>
    </row>
    <row r="134" spans="1:10" x14ac:dyDescent="0.3">
      <c r="A134" s="1" t="s">
        <v>68</v>
      </c>
      <c r="B134" s="1" t="s">
        <v>310</v>
      </c>
      <c r="C134" s="1" t="s">
        <v>16</v>
      </c>
      <c r="D134" s="1"/>
      <c r="E134" s="3" t="s">
        <v>311</v>
      </c>
      <c r="F134" s="2" t="str">
        <f t="shared" si="2"/>
        <v>6</v>
      </c>
      <c r="G134" s="3" t="s">
        <v>369</v>
      </c>
      <c r="H134" s="2" t="s">
        <v>12</v>
      </c>
      <c r="I134" s="2" t="s">
        <v>12</v>
      </c>
      <c r="J134" s="2" t="s">
        <v>427</v>
      </c>
    </row>
    <row r="135" spans="1:10" x14ac:dyDescent="0.3">
      <c r="A135" s="1" t="s">
        <v>19</v>
      </c>
      <c r="B135" s="1" t="s">
        <v>313</v>
      </c>
      <c r="C135" s="1" t="s">
        <v>4</v>
      </c>
      <c r="D135" s="1"/>
      <c r="E135" s="3" t="s">
        <v>314</v>
      </c>
      <c r="F135" s="2" t="str">
        <f t="shared" si="2"/>
        <v>1</v>
      </c>
      <c r="G135" s="3" t="s">
        <v>369</v>
      </c>
      <c r="H135" s="2" t="s">
        <v>12</v>
      </c>
      <c r="I135" s="2" t="s">
        <v>12</v>
      </c>
      <c r="J135" s="2" t="s">
        <v>427</v>
      </c>
    </row>
    <row r="136" spans="1:10" x14ac:dyDescent="0.3">
      <c r="A136" s="1" t="s">
        <v>31</v>
      </c>
      <c r="B136" s="1" t="s">
        <v>99</v>
      </c>
      <c r="C136" s="1" t="s">
        <v>16</v>
      </c>
      <c r="D136" s="1"/>
      <c r="E136" s="3" t="s">
        <v>100</v>
      </c>
      <c r="F136" s="2" t="str">
        <f t="shared" si="2"/>
        <v>3</v>
      </c>
      <c r="G136" s="3" t="s">
        <v>369</v>
      </c>
      <c r="H136" s="2" t="s">
        <v>12</v>
      </c>
      <c r="I136" s="2" t="s">
        <v>12</v>
      </c>
      <c r="J136" s="2" t="s">
        <v>427</v>
      </c>
    </row>
    <row r="137" spans="1:10" x14ac:dyDescent="0.3">
      <c r="A137" s="1" t="s">
        <v>31</v>
      </c>
      <c r="B137" s="1" t="s">
        <v>99</v>
      </c>
      <c r="C137" s="1" t="s">
        <v>16</v>
      </c>
      <c r="D137" s="1"/>
      <c r="E137" s="3" t="s">
        <v>315</v>
      </c>
      <c r="F137" s="2" t="str">
        <f t="shared" si="2"/>
        <v>6</v>
      </c>
      <c r="G137" s="3" t="s">
        <v>369</v>
      </c>
      <c r="H137" s="2" t="s">
        <v>12</v>
      </c>
      <c r="I137" s="2" t="s">
        <v>12</v>
      </c>
      <c r="J137" s="2" t="s">
        <v>427</v>
      </c>
    </row>
    <row r="138" spans="1:10" x14ac:dyDescent="0.3">
      <c r="A138" s="1" t="s">
        <v>55</v>
      </c>
      <c r="B138" s="1" t="s">
        <v>316</v>
      </c>
      <c r="C138" s="1" t="s">
        <v>4</v>
      </c>
      <c r="D138" s="1"/>
      <c r="E138" s="3" t="s">
        <v>317</v>
      </c>
      <c r="F138" s="2" t="str">
        <f t="shared" si="2"/>
        <v>7</v>
      </c>
      <c r="G138" s="3" t="s">
        <v>369</v>
      </c>
      <c r="H138" s="2" t="s">
        <v>12</v>
      </c>
      <c r="I138" s="2" t="s">
        <v>12</v>
      </c>
      <c r="J138" s="2" t="s">
        <v>427</v>
      </c>
    </row>
    <row r="139" spans="1:10" x14ac:dyDescent="0.3">
      <c r="A139" s="1" t="s">
        <v>78</v>
      </c>
      <c r="B139" s="1" t="s">
        <v>318</v>
      </c>
      <c r="C139" s="1" t="s">
        <v>26</v>
      </c>
      <c r="D139" s="1" t="s">
        <v>214</v>
      </c>
      <c r="E139" s="3" t="s">
        <v>319</v>
      </c>
      <c r="F139" s="2" t="str">
        <f t="shared" si="2"/>
        <v>9</v>
      </c>
      <c r="G139" s="3" t="s">
        <v>369</v>
      </c>
      <c r="H139" s="2" t="s">
        <v>12</v>
      </c>
      <c r="I139" s="2" t="s">
        <v>12</v>
      </c>
      <c r="J139" s="2" t="s">
        <v>427</v>
      </c>
    </row>
    <row r="140" spans="1:10" x14ac:dyDescent="0.3">
      <c r="A140" s="1" t="s">
        <v>5</v>
      </c>
      <c r="B140" s="1" t="s">
        <v>320</v>
      </c>
      <c r="C140" s="1" t="s">
        <v>4</v>
      </c>
      <c r="D140" s="1"/>
      <c r="E140" s="3" t="s">
        <v>321</v>
      </c>
      <c r="F140" s="2" t="str">
        <f t="shared" si="2"/>
        <v>1</v>
      </c>
      <c r="G140" s="3" t="s">
        <v>369</v>
      </c>
      <c r="H140" s="2" t="s">
        <v>12</v>
      </c>
      <c r="I140" s="2" t="s">
        <v>12</v>
      </c>
      <c r="J140" s="2" t="s">
        <v>427</v>
      </c>
    </row>
    <row r="141" spans="1:10" x14ac:dyDescent="0.3">
      <c r="A141" s="1" t="s">
        <v>87</v>
      </c>
      <c r="B141" s="1" t="s">
        <v>322</v>
      </c>
      <c r="C141" s="1" t="s">
        <v>4</v>
      </c>
      <c r="D141" s="1"/>
      <c r="E141" s="3" t="s">
        <v>323</v>
      </c>
      <c r="F141" s="2" t="str">
        <f t="shared" si="2"/>
        <v>5</v>
      </c>
      <c r="G141" s="3" t="s">
        <v>369</v>
      </c>
      <c r="H141" s="2" t="s">
        <v>12</v>
      </c>
      <c r="I141" s="2" t="s">
        <v>12</v>
      </c>
      <c r="J141" s="2" t="s">
        <v>427</v>
      </c>
    </row>
    <row r="142" spans="1:10" x14ac:dyDescent="0.3">
      <c r="A142" s="1" t="s">
        <v>8</v>
      </c>
      <c r="B142" s="1" t="s">
        <v>324</v>
      </c>
      <c r="C142" s="1" t="s">
        <v>4</v>
      </c>
      <c r="D142" s="1"/>
      <c r="E142" s="3" t="s">
        <v>325</v>
      </c>
      <c r="F142" s="2" t="str">
        <f t="shared" si="2"/>
        <v>0</v>
      </c>
      <c r="G142" s="3" t="s">
        <v>369</v>
      </c>
      <c r="H142" s="2" t="s">
        <v>12</v>
      </c>
      <c r="I142" s="2" t="s">
        <v>12</v>
      </c>
      <c r="J142" s="2" t="s">
        <v>427</v>
      </c>
    </row>
    <row r="143" spans="1:10" x14ac:dyDescent="0.3">
      <c r="A143" s="1" t="s">
        <v>326</v>
      </c>
      <c r="B143" s="1" t="s">
        <v>327</v>
      </c>
      <c r="C143" s="1" t="s">
        <v>16</v>
      </c>
      <c r="D143" s="1"/>
      <c r="E143" s="3" t="s">
        <v>328</v>
      </c>
      <c r="F143" s="2" t="str">
        <f t="shared" si="2"/>
        <v>3</v>
      </c>
      <c r="G143" s="3" t="s">
        <v>369</v>
      </c>
      <c r="H143" s="2" t="s">
        <v>12</v>
      </c>
      <c r="I143" s="2" t="s">
        <v>12</v>
      </c>
      <c r="J143" s="2" t="s">
        <v>427</v>
      </c>
    </row>
    <row r="144" spans="1:10" x14ac:dyDescent="0.3">
      <c r="A144" s="1" t="s">
        <v>48</v>
      </c>
      <c r="B144" s="1" t="s">
        <v>329</v>
      </c>
      <c r="C144" s="1" t="s">
        <v>4</v>
      </c>
      <c r="D144" s="1"/>
      <c r="E144" s="3" t="s">
        <v>330</v>
      </c>
      <c r="F144" s="2" t="str">
        <f t="shared" si="2"/>
        <v>1</v>
      </c>
      <c r="G144" s="3" t="s">
        <v>369</v>
      </c>
      <c r="H144" s="2" t="s">
        <v>12</v>
      </c>
      <c r="I144" s="2" t="s">
        <v>12</v>
      </c>
      <c r="J144" s="2" t="s">
        <v>427</v>
      </c>
    </row>
    <row r="145" spans="1:10" x14ac:dyDescent="0.3">
      <c r="A145" s="1" t="s">
        <v>8</v>
      </c>
      <c r="B145" s="1" t="s">
        <v>332</v>
      </c>
      <c r="C145" s="1" t="s">
        <v>4</v>
      </c>
      <c r="D145" s="1"/>
      <c r="E145" s="3" t="s">
        <v>455</v>
      </c>
      <c r="F145" s="2" t="str">
        <f t="shared" si="2"/>
        <v>8</v>
      </c>
      <c r="G145" s="3" t="s">
        <v>369</v>
      </c>
      <c r="H145" s="2" t="s">
        <v>12</v>
      </c>
      <c r="I145" s="2" t="s">
        <v>12</v>
      </c>
      <c r="J145" s="2" t="s">
        <v>427</v>
      </c>
    </row>
    <row r="146" spans="1:10" x14ac:dyDescent="0.3">
      <c r="A146" t="s">
        <v>8</v>
      </c>
      <c r="B146" s="1" t="s">
        <v>334</v>
      </c>
      <c r="C146" s="1" t="s">
        <v>4</v>
      </c>
      <c r="D146" s="1"/>
      <c r="E146" s="3" t="s">
        <v>351</v>
      </c>
      <c r="F146" s="2" t="str">
        <f t="shared" si="2"/>
        <v>3</v>
      </c>
      <c r="G146" s="3" t="s">
        <v>369</v>
      </c>
      <c r="H146" s="2" t="s">
        <v>12</v>
      </c>
      <c r="I146" s="2" t="s">
        <v>12</v>
      </c>
      <c r="J146" s="2" t="s">
        <v>356</v>
      </c>
    </row>
    <row r="147" spans="1:10" x14ac:dyDescent="0.3">
      <c r="A147" s="1" t="s">
        <v>335</v>
      </c>
      <c r="B147" s="1" t="s">
        <v>336</v>
      </c>
      <c r="C147" s="1" t="s">
        <v>4</v>
      </c>
      <c r="D147" s="1"/>
      <c r="E147" s="3" t="s">
        <v>337</v>
      </c>
      <c r="F147" s="2" t="str">
        <f t="shared" si="2"/>
        <v>0</v>
      </c>
      <c r="G147" s="3" t="s">
        <v>369</v>
      </c>
      <c r="H147" s="2" t="s">
        <v>12</v>
      </c>
      <c r="I147" s="2" t="s">
        <v>12</v>
      </c>
      <c r="J147" s="2" t="s">
        <v>356</v>
      </c>
    </row>
    <row r="148" spans="1:10" x14ac:dyDescent="0.3">
      <c r="A148" s="1" t="s">
        <v>87</v>
      </c>
      <c r="B148" s="1" t="s">
        <v>339</v>
      </c>
      <c r="C148" s="1" t="s">
        <v>29</v>
      </c>
      <c r="D148" s="1"/>
      <c r="E148" s="3" t="s">
        <v>340</v>
      </c>
      <c r="F148" s="2" t="str">
        <f t="shared" si="2"/>
        <v>6</v>
      </c>
      <c r="G148" s="3" t="s">
        <v>369</v>
      </c>
      <c r="H148" s="2" t="s">
        <v>12</v>
      </c>
      <c r="I148" s="2" t="s">
        <v>12</v>
      </c>
      <c r="J148" s="2" t="s">
        <v>356</v>
      </c>
    </row>
    <row r="149" spans="1:10" x14ac:dyDescent="0.3">
      <c r="A149" s="1" t="s">
        <v>68</v>
      </c>
      <c r="B149" s="1" t="s">
        <v>69</v>
      </c>
      <c r="C149" s="1" t="s">
        <v>16</v>
      </c>
      <c r="D149" s="1"/>
      <c r="E149" s="3" t="s">
        <v>70</v>
      </c>
      <c r="F149" s="2" t="str">
        <f t="shared" si="2"/>
        <v>4</v>
      </c>
      <c r="G149" s="3" t="s">
        <v>369</v>
      </c>
      <c r="H149" s="2" t="s">
        <v>12</v>
      </c>
      <c r="I149" s="2" t="s">
        <v>12</v>
      </c>
      <c r="J149" s="2" t="s">
        <v>356</v>
      </c>
    </row>
    <row r="150" spans="1:10" x14ac:dyDescent="0.3">
      <c r="A150" t="s">
        <v>19</v>
      </c>
      <c r="B150" s="1" t="s">
        <v>104</v>
      </c>
      <c r="C150" s="1" t="s">
        <v>16</v>
      </c>
      <c r="D150" s="1"/>
      <c r="E150" s="3" t="s">
        <v>341</v>
      </c>
      <c r="F150" s="2" t="str">
        <f t="shared" si="2"/>
        <v>1</v>
      </c>
      <c r="G150" s="3" t="s">
        <v>369</v>
      </c>
      <c r="H150" s="2" t="s">
        <v>12</v>
      </c>
      <c r="I150" s="2" t="s">
        <v>12</v>
      </c>
      <c r="J150" s="2" t="s">
        <v>356</v>
      </c>
    </row>
    <row r="151" spans="1:10" x14ac:dyDescent="0.3">
      <c r="A151" t="s">
        <v>342</v>
      </c>
      <c r="B151" s="1" t="s">
        <v>343</v>
      </c>
      <c r="C151" s="1" t="s">
        <v>29</v>
      </c>
      <c r="E151" s="3" t="s">
        <v>347</v>
      </c>
      <c r="F151" s="2" t="str">
        <f t="shared" si="2"/>
        <v>5</v>
      </c>
      <c r="G151" s="3" t="s">
        <v>369</v>
      </c>
      <c r="H151" s="2" t="s">
        <v>12</v>
      </c>
      <c r="I151" s="2" t="s">
        <v>12</v>
      </c>
      <c r="J151" s="2" t="s">
        <v>356</v>
      </c>
    </row>
    <row r="152" spans="1:10" x14ac:dyDescent="0.3">
      <c r="A152" t="s">
        <v>342</v>
      </c>
      <c r="B152" s="1" t="s">
        <v>344</v>
      </c>
      <c r="C152" s="1" t="s">
        <v>29</v>
      </c>
      <c r="E152" s="3" t="s">
        <v>348</v>
      </c>
      <c r="F152" s="2" t="str">
        <f t="shared" si="2"/>
        <v>6</v>
      </c>
      <c r="G152" s="3" t="s">
        <v>369</v>
      </c>
      <c r="H152" s="2" t="s">
        <v>12</v>
      </c>
      <c r="I152" s="2" t="s">
        <v>12</v>
      </c>
      <c r="J152" s="2" t="s">
        <v>356</v>
      </c>
    </row>
    <row r="153" spans="1:10" x14ac:dyDescent="0.3">
      <c r="A153" t="s">
        <v>342</v>
      </c>
      <c r="B153" s="1" t="s">
        <v>345</v>
      </c>
      <c r="C153" s="1" t="s">
        <v>29</v>
      </c>
      <c r="E153" s="3" t="s">
        <v>349</v>
      </c>
      <c r="F153" s="2" t="str">
        <f t="shared" si="2"/>
        <v>6</v>
      </c>
      <c r="G153" s="3" t="s">
        <v>369</v>
      </c>
      <c r="H153" s="2" t="s">
        <v>12</v>
      </c>
      <c r="I153" s="2" t="s">
        <v>12</v>
      </c>
      <c r="J153" s="2" t="s">
        <v>356</v>
      </c>
    </row>
    <row r="154" spans="1:10" x14ac:dyDescent="0.3">
      <c r="A154" t="s">
        <v>342</v>
      </c>
      <c r="B154" s="1" t="s">
        <v>346</v>
      </c>
      <c r="C154" s="1" t="s">
        <v>29</v>
      </c>
      <c r="E154" s="3" t="s">
        <v>350</v>
      </c>
      <c r="F154" s="2" t="str">
        <f t="shared" si="2"/>
        <v>2</v>
      </c>
      <c r="G154" s="3" t="s">
        <v>369</v>
      </c>
      <c r="H154" s="2" t="s">
        <v>12</v>
      </c>
      <c r="I154" s="2" t="s">
        <v>12</v>
      </c>
      <c r="J154" s="2" t="s">
        <v>356</v>
      </c>
    </row>
    <row r="155" spans="1:10" x14ac:dyDescent="0.3">
      <c r="A155" t="s">
        <v>5</v>
      </c>
      <c r="B155" s="1" t="s">
        <v>354</v>
      </c>
      <c r="C155" s="1" t="s">
        <v>4</v>
      </c>
      <c r="E155" s="3" t="s">
        <v>355</v>
      </c>
      <c r="F155" s="2" t="str">
        <f t="shared" si="2"/>
        <v>0</v>
      </c>
      <c r="G155" s="3" t="s">
        <v>369</v>
      </c>
      <c r="H155" s="2" t="s">
        <v>12</v>
      </c>
      <c r="I155" s="2" t="s">
        <v>12</v>
      </c>
      <c r="J155" s="2" t="s">
        <v>356</v>
      </c>
    </row>
    <row r="156" spans="1:10" x14ac:dyDescent="0.3">
      <c r="A156" t="s">
        <v>40</v>
      </c>
      <c r="B156" s="1" t="s">
        <v>358</v>
      </c>
      <c r="C156" s="1" t="s">
        <v>29</v>
      </c>
      <c r="E156" s="3" t="s">
        <v>359</v>
      </c>
      <c r="F156" s="2" t="str">
        <f t="shared" si="2"/>
        <v>2</v>
      </c>
      <c r="G156" s="3" t="s">
        <v>369</v>
      </c>
      <c r="H156" s="2" t="s">
        <v>12</v>
      </c>
      <c r="I156" s="2" t="s">
        <v>12</v>
      </c>
      <c r="J156" s="2" t="s">
        <v>356</v>
      </c>
    </row>
    <row r="157" spans="1:10" x14ac:dyDescent="0.3">
      <c r="A157" t="s">
        <v>58</v>
      </c>
      <c r="B157" s="1" t="s">
        <v>361</v>
      </c>
      <c r="C157" s="1" t="s">
        <v>4</v>
      </c>
      <c r="E157" s="3" t="s">
        <v>362</v>
      </c>
      <c r="F157" s="2" t="str">
        <f t="shared" si="2"/>
        <v>4</v>
      </c>
      <c r="G157" s="3" t="s">
        <v>369</v>
      </c>
      <c r="H157" s="2" t="s">
        <v>12</v>
      </c>
      <c r="I157" s="2" t="s">
        <v>12</v>
      </c>
      <c r="J157" s="2" t="s">
        <v>356</v>
      </c>
    </row>
    <row r="158" spans="1:10" x14ac:dyDescent="0.3">
      <c r="A158" t="s">
        <v>92</v>
      </c>
      <c r="B158" s="1" t="s">
        <v>365</v>
      </c>
      <c r="C158" s="1" t="s">
        <v>4</v>
      </c>
      <c r="E158" s="3" t="s">
        <v>366</v>
      </c>
      <c r="F158" s="2" t="str">
        <f t="shared" si="2"/>
        <v>8</v>
      </c>
      <c r="G158" s="3" t="s">
        <v>369</v>
      </c>
      <c r="H158" s="2" t="s">
        <v>12</v>
      </c>
      <c r="I158" s="2" t="s">
        <v>12</v>
      </c>
      <c r="J158" s="2" t="s">
        <v>356</v>
      </c>
    </row>
    <row r="159" spans="1:10" x14ac:dyDescent="0.3">
      <c r="A159" t="s">
        <v>48</v>
      </c>
      <c r="B159" s="1" t="s">
        <v>374</v>
      </c>
      <c r="C159" s="1" t="s">
        <v>4</v>
      </c>
      <c r="E159" s="3" t="s">
        <v>375</v>
      </c>
      <c r="F159" s="2" t="str">
        <f t="shared" si="2"/>
        <v>1</v>
      </c>
      <c r="G159" s="3" t="s">
        <v>369</v>
      </c>
      <c r="H159" s="2" t="s">
        <v>12</v>
      </c>
      <c r="I159" s="2" t="s">
        <v>12</v>
      </c>
      <c r="J159" s="2" t="s">
        <v>356</v>
      </c>
    </row>
    <row r="160" spans="1:10" x14ac:dyDescent="0.3">
      <c r="A160" t="s">
        <v>326</v>
      </c>
      <c r="B160" s="1" t="s">
        <v>377</v>
      </c>
      <c r="C160" s="1" t="s">
        <v>16</v>
      </c>
      <c r="E160" s="3" t="s">
        <v>379</v>
      </c>
      <c r="F160" s="2" t="str">
        <f t="shared" si="2"/>
        <v>4</v>
      </c>
      <c r="G160" s="3" t="s">
        <v>369</v>
      </c>
      <c r="H160" s="2" t="s">
        <v>12</v>
      </c>
      <c r="I160" s="2" t="s">
        <v>12</v>
      </c>
      <c r="J160" s="2" t="s">
        <v>356</v>
      </c>
    </row>
    <row r="161" spans="1:10" x14ac:dyDescent="0.3">
      <c r="A161" t="s">
        <v>380</v>
      </c>
      <c r="B161" s="1" t="s">
        <v>381</v>
      </c>
      <c r="C161" s="1" t="s">
        <v>4</v>
      </c>
      <c r="E161" s="3" t="s">
        <v>382</v>
      </c>
      <c r="F161" s="2" t="str">
        <f t="shared" si="2"/>
        <v>5</v>
      </c>
      <c r="G161" s="3" t="s">
        <v>369</v>
      </c>
      <c r="H161" s="2" t="s">
        <v>12</v>
      </c>
      <c r="I161" s="2" t="s">
        <v>12</v>
      </c>
      <c r="J161" s="2" t="s">
        <v>356</v>
      </c>
    </row>
    <row r="162" spans="1:10" x14ac:dyDescent="0.3">
      <c r="A162" t="s">
        <v>187</v>
      </c>
      <c r="B162" s="1" t="s">
        <v>383</v>
      </c>
      <c r="C162" s="1" t="s">
        <v>29</v>
      </c>
      <c r="E162" s="3" t="s">
        <v>384</v>
      </c>
      <c r="F162" s="2" t="str">
        <f t="shared" si="2"/>
        <v>2</v>
      </c>
      <c r="G162" s="3" t="s">
        <v>369</v>
      </c>
      <c r="H162" s="2" t="s">
        <v>12</v>
      </c>
      <c r="I162" s="2" t="s">
        <v>12</v>
      </c>
      <c r="J162" s="2" t="s">
        <v>356</v>
      </c>
    </row>
    <row r="163" spans="1:10" x14ac:dyDescent="0.3">
      <c r="A163" t="s">
        <v>22</v>
      </c>
      <c r="B163" s="1" t="s">
        <v>386</v>
      </c>
      <c r="C163" s="1" t="s">
        <v>4</v>
      </c>
      <c r="E163" s="3" t="s">
        <v>387</v>
      </c>
      <c r="F163" s="2" t="str">
        <f t="shared" si="2"/>
        <v>5</v>
      </c>
      <c r="G163" s="3" t="s">
        <v>369</v>
      </c>
      <c r="H163" s="2" t="s">
        <v>12</v>
      </c>
      <c r="I163" s="2" t="s">
        <v>12</v>
      </c>
      <c r="J163" s="2" t="s">
        <v>356</v>
      </c>
    </row>
    <row r="164" spans="1:10" x14ac:dyDescent="0.3">
      <c r="A164" s="1" t="s">
        <v>335</v>
      </c>
      <c r="B164" s="1" t="s">
        <v>338</v>
      </c>
      <c r="C164" s="1" t="s">
        <v>4</v>
      </c>
      <c r="D164" s="1"/>
      <c r="E164" s="3" t="s">
        <v>388</v>
      </c>
      <c r="F164" s="2" t="str">
        <f t="shared" si="2"/>
        <v>9</v>
      </c>
      <c r="G164" s="3" t="s">
        <v>369</v>
      </c>
      <c r="H164" s="2" t="s">
        <v>12</v>
      </c>
      <c r="I164" s="2" t="s">
        <v>12</v>
      </c>
      <c r="J164" s="2" t="s">
        <v>356</v>
      </c>
    </row>
    <row r="165" spans="1:10" x14ac:dyDescent="0.3">
      <c r="A165" t="s">
        <v>48</v>
      </c>
      <c r="B165" s="1" t="s">
        <v>390</v>
      </c>
      <c r="C165" s="1" t="s">
        <v>16</v>
      </c>
      <c r="E165" s="3" t="s">
        <v>391</v>
      </c>
      <c r="F165" s="2" t="str">
        <f t="shared" si="2"/>
        <v>5</v>
      </c>
      <c r="G165" s="3" t="s">
        <v>369</v>
      </c>
      <c r="H165" s="2" t="s">
        <v>12</v>
      </c>
      <c r="I165" s="2" t="s">
        <v>12</v>
      </c>
      <c r="J165" s="2" t="s">
        <v>356</v>
      </c>
    </row>
    <row r="166" spans="1:10" x14ac:dyDescent="0.3">
      <c r="A166" t="s">
        <v>58</v>
      </c>
      <c r="B166" s="1" t="s">
        <v>392</v>
      </c>
      <c r="C166" s="1" t="s">
        <v>16</v>
      </c>
      <c r="E166" s="3" t="s">
        <v>393</v>
      </c>
      <c r="F166" s="2" t="str">
        <f t="shared" si="2"/>
        <v>3</v>
      </c>
      <c r="G166" s="3" t="s">
        <v>369</v>
      </c>
      <c r="H166" s="2" t="s">
        <v>12</v>
      </c>
      <c r="I166" s="2" t="s">
        <v>12</v>
      </c>
      <c r="J166" s="2" t="s">
        <v>356</v>
      </c>
    </row>
    <row r="167" spans="1:10" x14ac:dyDescent="0.3">
      <c r="A167" t="s">
        <v>242</v>
      </c>
      <c r="B167" s="1" t="s">
        <v>395</v>
      </c>
      <c r="C167" s="1" t="s">
        <v>29</v>
      </c>
      <c r="E167" s="3" t="s">
        <v>396</v>
      </c>
      <c r="F167" s="2" t="str">
        <f t="shared" si="2"/>
        <v>8</v>
      </c>
      <c r="G167" s="3" t="s">
        <v>369</v>
      </c>
      <c r="H167" s="2" t="s">
        <v>12</v>
      </c>
      <c r="I167" s="2" t="s">
        <v>12</v>
      </c>
      <c r="J167" s="2" t="s">
        <v>356</v>
      </c>
    </row>
    <row r="168" spans="1:10" x14ac:dyDescent="0.3">
      <c r="A168" t="s">
        <v>150</v>
      </c>
      <c r="B168" s="1" t="s">
        <v>398</v>
      </c>
      <c r="C168" s="1" t="s">
        <v>4</v>
      </c>
      <c r="E168" s="3" t="s">
        <v>399</v>
      </c>
      <c r="F168" s="2" t="str">
        <f t="shared" si="2"/>
        <v>9</v>
      </c>
      <c r="G168" s="3" t="s">
        <v>369</v>
      </c>
      <c r="H168" s="2" t="s">
        <v>12</v>
      </c>
      <c r="I168" s="2" t="s">
        <v>12</v>
      </c>
      <c r="J168" s="2" t="s">
        <v>356</v>
      </c>
    </row>
    <row r="169" spans="1:10" x14ac:dyDescent="0.3">
      <c r="A169" t="s">
        <v>8</v>
      </c>
      <c r="B169" s="1" t="s">
        <v>9</v>
      </c>
      <c r="C169" s="1" t="s">
        <v>4</v>
      </c>
      <c r="E169" s="3" t="s">
        <v>400</v>
      </c>
      <c r="F169" s="2" t="str">
        <f t="shared" si="2"/>
        <v>0</v>
      </c>
      <c r="G169" s="3" t="s">
        <v>369</v>
      </c>
      <c r="H169" s="2" t="s">
        <v>12</v>
      </c>
      <c r="I169" s="2" t="s">
        <v>12</v>
      </c>
      <c r="J169" s="2" t="s">
        <v>356</v>
      </c>
    </row>
    <row r="170" spans="1:10" x14ac:dyDescent="0.3">
      <c r="A170" t="s">
        <v>58</v>
      </c>
      <c r="B170" s="1" t="s">
        <v>402</v>
      </c>
      <c r="C170" s="1" t="s">
        <v>29</v>
      </c>
      <c r="E170" s="3" t="s">
        <v>403</v>
      </c>
      <c r="F170" s="2" t="str">
        <f t="shared" si="2"/>
        <v>9</v>
      </c>
      <c r="G170" s="3" t="s">
        <v>369</v>
      </c>
      <c r="H170" s="2" t="s">
        <v>12</v>
      </c>
      <c r="I170" s="2" t="s">
        <v>12</v>
      </c>
      <c r="J170" s="2" t="s">
        <v>356</v>
      </c>
    </row>
    <row r="171" spans="1:10" x14ac:dyDescent="0.3">
      <c r="A171" t="s">
        <v>404</v>
      </c>
      <c r="B171" s="1" t="s">
        <v>405</v>
      </c>
      <c r="C171" s="1" t="s">
        <v>4</v>
      </c>
      <c r="E171" s="3" t="s">
        <v>406</v>
      </c>
      <c r="F171" s="2" t="str">
        <f t="shared" si="2"/>
        <v>8</v>
      </c>
      <c r="G171" s="3" t="s">
        <v>369</v>
      </c>
      <c r="H171" s="2" t="s">
        <v>12</v>
      </c>
      <c r="I171" s="2" t="s">
        <v>12</v>
      </c>
      <c r="J171" s="2" t="s">
        <v>356</v>
      </c>
    </row>
    <row r="172" spans="1:10" x14ac:dyDescent="0.3">
      <c r="A172" t="s">
        <v>404</v>
      </c>
      <c r="B172" s="1" t="s">
        <v>405</v>
      </c>
      <c r="C172" s="1" t="s">
        <v>4</v>
      </c>
      <c r="E172" s="3" t="s">
        <v>407</v>
      </c>
      <c r="F172" s="2" t="str">
        <f t="shared" si="2"/>
        <v>1</v>
      </c>
      <c r="G172" s="3" t="s">
        <v>369</v>
      </c>
      <c r="H172" s="2" t="s">
        <v>12</v>
      </c>
      <c r="I172" s="2" t="s">
        <v>12</v>
      </c>
      <c r="J172" s="2" t="s">
        <v>356</v>
      </c>
    </row>
    <row r="173" spans="1:10" x14ac:dyDescent="0.3">
      <c r="A173" t="s">
        <v>31</v>
      </c>
      <c r="B173" s="1" t="s">
        <v>410</v>
      </c>
      <c r="C173" s="1" t="s">
        <v>16</v>
      </c>
      <c r="E173" s="3" t="s">
        <v>412</v>
      </c>
      <c r="F173" s="2" t="str">
        <f t="shared" si="2"/>
        <v>8</v>
      </c>
      <c r="G173" s="3" t="s">
        <v>369</v>
      </c>
      <c r="H173" s="2" t="s">
        <v>12</v>
      </c>
      <c r="I173" s="2" t="s">
        <v>12</v>
      </c>
      <c r="J173" s="2" t="s">
        <v>356</v>
      </c>
    </row>
    <row r="174" spans="1:10" x14ac:dyDescent="0.3">
      <c r="A174" t="s">
        <v>413</v>
      </c>
      <c r="B174" s="1" t="s">
        <v>414</v>
      </c>
      <c r="C174" s="1" t="s">
        <v>16</v>
      </c>
      <c r="E174" s="3" t="s">
        <v>415</v>
      </c>
      <c r="F174" s="2" t="str">
        <f t="shared" si="2"/>
        <v>8</v>
      </c>
      <c r="G174" s="3" t="s">
        <v>369</v>
      </c>
      <c r="H174" s="2" t="s">
        <v>12</v>
      </c>
      <c r="I174" s="2" t="s">
        <v>12</v>
      </c>
      <c r="J174" s="2" t="s">
        <v>425</v>
      </c>
    </row>
    <row r="175" spans="1:10" x14ac:dyDescent="0.3">
      <c r="A175" t="s">
        <v>417</v>
      </c>
      <c r="B175" s="1" t="s">
        <v>418</v>
      </c>
      <c r="C175" s="1" t="s">
        <v>4</v>
      </c>
      <c r="E175" s="3" t="s">
        <v>419</v>
      </c>
      <c r="F175" s="2" t="str">
        <f t="shared" si="2"/>
        <v>0</v>
      </c>
      <c r="G175" s="3" t="s">
        <v>369</v>
      </c>
      <c r="H175" s="2" t="s">
        <v>12</v>
      </c>
      <c r="I175" s="2" t="s">
        <v>12</v>
      </c>
      <c r="J175" s="2" t="s">
        <v>425</v>
      </c>
    </row>
    <row r="176" spans="1:10" x14ac:dyDescent="0.3">
      <c r="A176" t="s">
        <v>8</v>
      </c>
      <c r="B176" s="1" t="s">
        <v>421</v>
      </c>
      <c r="C176" s="1" t="s">
        <v>26</v>
      </c>
      <c r="D176" t="s">
        <v>423</v>
      </c>
      <c r="E176" s="3" t="s">
        <v>424</v>
      </c>
      <c r="F176" s="2" t="str">
        <f t="shared" si="2"/>
        <v>3</v>
      </c>
      <c r="G176" s="3" t="s">
        <v>369</v>
      </c>
      <c r="H176" s="2" t="s">
        <v>12</v>
      </c>
      <c r="I176" s="2" t="s">
        <v>12</v>
      </c>
      <c r="J176" s="2" t="s">
        <v>425</v>
      </c>
    </row>
    <row r="177" spans="1:10" x14ac:dyDescent="0.3">
      <c r="A177" t="s">
        <v>428</v>
      </c>
      <c r="B177" s="1" t="s">
        <v>429</v>
      </c>
      <c r="C177" s="1" t="s">
        <v>29</v>
      </c>
      <c r="E177" s="3" t="s">
        <v>430</v>
      </c>
      <c r="F177" s="2" t="str">
        <f t="shared" si="2"/>
        <v>5</v>
      </c>
      <c r="G177" s="3" t="s">
        <v>369</v>
      </c>
      <c r="H177" s="2" t="s">
        <v>12</v>
      </c>
      <c r="I177" s="2" t="s">
        <v>12</v>
      </c>
      <c r="J177" s="2" t="s">
        <v>425</v>
      </c>
    </row>
    <row r="178" spans="1:10" x14ac:dyDescent="0.3">
      <c r="A178" t="s">
        <v>22</v>
      </c>
      <c r="B178" s="1" t="s">
        <v>432</v>
      </c>
      <c r="C178" s="1" t="s">
        <v>16</v>
      </c>
      <c r="E178" s="3" t="s">
        <v>434</v>
      </c>
      <c r="F178" s="2" t="str">
        <f t="shared" si="2"/>
        <v>9</v>
      </c>
      <c r="G178" s="3" t="s">
        <v>369</v>
      </c>
      <c r="H178" s="2" t="s">
        <v>12</v>
      </c>
      <c r="I178" s="2" t="s">
        <v>12</v>
      </c>
      <c r="J178" s="2" t="s">
        <v>425</v>
      </c>
    </row>
    <row r="179" spans="1:10" x14ac:dyDescent="0.3">
      <c r="A179" t="s">
        <v>203</v>
      </c>
      <c r="B179" s="1" t="s">
        <v>436</v>
      </c>
      <c r="C179" s="1" t="s">
        <v>26</v>
      </c>
      <c r="D179" t="s">
        <v>438</v>
      </c>
      <c r="E179" s="3" t="s">
        <v>439</v>
      </c>
      <c r="F179" s="2" t="str">
        <f t="shared" si="2"/>
        <v>5</v>
      </c>
      <c r="G179" s="3" t="s">
        <v>369</v>
      </c>
      <c r="H179" s="2" t="s">
        <v>12</v>
      </c>
      <c r="I179" s="2" t="s">
        <v>12</v>
      </c>
      <c r="J179" s="2" t="s">
        <v>425</v>
      </c>
    </row>
    <row r="180" spans="1:10" x14ac:dyDescent="0.3">
      <c r="A180" t="s">
        <v>22</v>
      </c>
      <c r="B180" s="1" t="s">
        <v>440</v>
      </c>
      <c r="C180" s="1" t="s">
        <v>16</v>
      </c>
      <c r="E180" s="3" t="s">
        <v>441</v>
      </c>
      <c r="F180" s="2" t="str">
        <f t="shared" si="2"/>
        <v>8</v>
      </c>
      <c r="G180" s="3" t="s">
        <v>369</v>
      </c>
      <c r="H180" s="2" t="s">
        <v>12</v>
      </c>
      <c r="I180" s="2" t="s">
        <v>12</v>
      </c>
      <c r="J180" s="2" t="s">
        <v>425</v>
      </c>
    </row>
    <row r="181" spans="1:10" x14ac:dyDescent="0.3">
      <c r="A181" t="s">
        <v>19</v>
      </c>
      <c r="B181" s="1" t="s">
        <v>443</v>
      </c>
      <c r="C181" s="1" t="s">
        <v>4</v>
      </c>
      <c r="E181" s="3" t="s">
        <v>444</v>
      </c>
      <c r="F181" s="2" t="str">
        <f t="shared" si="2"/>
        <v>8</v>
      </c>
      <c r="G181" s="3" t="s">
        <v>369</v>
      </c>
      <c r="H181" s="2" t="s">
        <v>12</v>
      </c>
      <c r="I181" s="2" t="s">
        <v>12</v>
      </c>
      <c r="J181" s="2" t="s">
        <v>425</v>
      </c>
    </row>
    <row r="182" spans="1:10" x14ac:dyDescent="0.3">
      <c r="A182" t="s">
        <v>445</v>
      </c>
      <c r="B182" s="1" t="s">
        <v>446</v>
      </c>
      <c r="C182" s="1" t="s">
        <v>4</v>
      </c>
      <c r="E182" s="3" t="s">
        <v>447</v>
      </c>
      <c r="F182" s="2" t="str">
        <f t="shared" si="2"/>
        <v>4</v>
      </c>
      <c r="G182" s="3" t="s">
        <v>369</v>
      </c>
      <c r="H182" s="2" t="s">
        <v>12</v>
      </c>
      <c r="I182" s="2" t="s">
        <v>12</v>
      </c>
      <c r="J182" s="2" t="s">
        <v>425</v>
      </c>
    </row>
    <row r="183" spans="1:10" x14ac:dyDescent="0.3">
      <c r="A183" t="s">
        <v>68</v>
      </c>
      <c r="B183" s="1" t="s">
        <v>449</v>
      </c>
      <c r="C183" s="1" t="s">
        <v>26</v>
      </c>
      <c r="D183" t="s">
        <v>450</v>
      </c>
      <c r="E183" s="3" t="s">
        <v>451</v>
      </c>
      <c r="F183" s="2" t="str">
        <f t="shared" si="2"/>
        <v>1</v>
      </c>
      <c r="G183" s="3" t="s">
        <v>369</v>
      </c>
      <c r="H183" s="2" t="s">
        <v>12</v>
      </c>
      <c r="I183" s="2" t="s">
        <v>12</v>
      </c>
      <c r="J183" s="2" t="s">
        <v>425</v>
      </c>
    </row>
    <row r="184" spans="1:10" x14ac:dyDescent="0.3">
      <c r="A184" t="s">
        <v>58</v>
      </c>
      <c r="B184" s="1" t="s">
        <v>453</v>
      </c>
      <c r="C184" s="1" t="s">
        <v>4</v>
      </c>
      <c r="E184" s="3" t="s">
        <v>454</v>
      </c>
      <c r="F184" s="2" t="str">
        <f t="shared" si="2"/>
        <v>2</v>
      </c>
      <c r="G184" s="3" t="s">
        <v>369</v>
      </c>
      <c r="H184" s="2" t="s">
        <v>12</v>
      </c>
      <c r="I184" s="2" t="s">
        <v>12</v>
      </c>
      <c r="J184" s="2" t="s">
        <v>425</v>
      </c>
    </row>
    <row r="185" spans="1:10" x14ac:dyDescent="0.3">
      <c r="A185" t="s">
        <v>428</v>
      </c>
      <c r="B185" s="1" t="s">
        <v>458</v>
      </c>
      <c r="C185" s="1" t="s">
        <v>16</v>
      </c>
      <c r="E185" s="3" t="s">
        <v>459</v>
      </c>
      <c r="F185" s="2" t="str">
        <f t="shared" si="2"/>
        <v>4</v>
      </c>
      <c r="G185" s="3" t="s">
        <v>369</v>
      </c>
      <c r="H185" s="2" t="s">
        <v>12</v>
      </c>
      <c r="I185" s="2" t="s">
        <v>12</v>
      </c>
      <c r="J185" s="2" t="s">
        <v>425</v>
      </c>
    </row>
    <row r="186" spans="1:10" x14ac:dyDescent="0.3">
      <c r="A186" t="s">
        <v>187</v>
      </c>
      <c r="B186" s="1" t="s">
        <v>460</v>
      </c>
      <c r="C186" s="1" t="s">
        <v>16</v>
      </c>
      <c r="E186" s="3" t="s">
        <v>461</v>
      </c>
      <c r="F186" s="2" t="str">
        <f t="shared" si="2"/>
        <v>8</v>
      </c>
      <c r="G186" s="3" t="s">
        <v>369</v>
      </c>
      <c r="H186" s="2" t="s">
        <v>12</v>
      </c>
      <c r="I186" s="2" t="s">
        <v>12</v>
      </c>
      <c r="J186" s="2" t="s">
        <v>425</v>
      </c>
    </row>
    <row r="187" spans="1:10" x14ac:dyDescent="0.3">
      <c r="A187" t="s">
        <v>187</v>
      </c>
      <c r="B187" s="1" t="s">
        <v>460</v>
      </c>
      <c r="C187" s="1" t="s">
        <v>16</v>
      </c>
      <c r="E187" s="3" t="s">
        <v>462</v>
      </c>
      <c r="F187" s="2" t="str">
        <f t="shared" si="2"/>
        <v>7</v>
      </c>
      <c r="G187" s="3" t="s">
        <v>369</v>
      </c>
      <c r="H187" s="2" t="s">
        <v>12</v>
      </c>
      <c r="I187" s="2" t="s">
        <v>12</v>
      </c>
      <c r="J187" s="2" t="s">
        <v>425</v>
      </c>
    </row>
    <row r="188" spans="1:10" x14ac:dyDescent="0.3">
      <c r="A188" t="s">
        <v>181</v>
      </c>
      <c r="B188" s="1" t="s">
        <v>464</v>
      </c>
      <c r="C188" s="1" t="s">
        <v>16</v>
      </c>
      <c r="E188" s="3" t="s">
        <v>465</v>
      </c>
      <c r="F188" s="2" t="str">
        <f t="shared" si="2"/>
        <v>1</v>
      </c>
      <c r="G188" s="3" t="s">
        <v>369</v>
      </c>
      <c r="H188" s="2" t="s">
        <v>12</v>
      </c>
      <c r="I188" s="2" t="s">
        <v>12</v>
      </c>
      <c r="J188" s="2" t="s">
        <v>425</v>
      </c>
    </row>
    <row r="189" spans="1:10" x14ac:dyDescent="0.3">
      <c r="A189" t="s">
        <v>175</v>
      </c>
      <c r="B189" s="1" t="s">
        <v>467</v>
      </c>
      <c r="C189" s="1" t="s">
        <v>26</v>
      </c>
      <c r="D189" t="s">
        <v>470</v>
      </c>
      <c r="E189" s="3" t="s">
        <v>469</v>
      </c>
      <c r="F189" s="2" t="str">
        <f t="shared" si="2"/>
        <v>9</v>
      </c>
      <c r="G189" s="3" t="s">
        <v>369</v>
      </c>
      <c r="H189" s="2" t="s">
        <v>12</v>
      </c>
      <c r="I189" s="2" t="s">
        <v>12</v>
      </c>
      <c r="J189" s="2" t="s">
        <v>425</v>
      </c>
    </row>
    <row r="190" spans="1:10" x14ac:dyDescent="0.3">
      <c r="A190" s="6" t="s">
        <v>445</v>
      </c>
      <c r="B190" s="7" t="s">
        <v>471</v>
      </c>
      <c r="C190" s="7" t="s">
        <v>4</v>
      </c>
      <c r="D190" s="6"/>
      <c r="E190" s="8" t="s">
        <v>472</v>
      </c>
      <c r="F190" s="2" t="str">
        <f t="shared" si="2"/>
        <v>4</v>
      </c>
      <c r="G190" s="8" t="s">
        <v>369</v>
      </c>
      <c r="H190" s="9" t="s">
        <v>12</v>
      </c>
      <c r="I190" s="9" t="s">
        <v>12</v>
      </c>
      <c r="J190" s="9" t="s">
        <v>473</v>
      </c>
    </row>
    <row r="191" spans="1:10" x14ac:dyDescent="0.3">
      <c r="A191" s="6" t="s">
        <v>474</v>
      </c>
      <c r="B191" s="7" t="s">
        <v>475</v>
      </c>
      <c r="C191" s="7" t="s">
        <v>4</v>
      </c>
      <c r="D191" s="6"/>
      <c r="E191" s="8" t="s">
        <v>476</v>
      </c>
      <c r="F191" s="2" t="str">
        <f t="shared" si="2"/>
        <v>9</v>
      </c>
      <c r="G191" s="8" t="s">
        <v>369</v>
      </c>
      <c r="H191" s="9" t="s">
        <v>12</v>
      </c>
      <c r="I191" s="9" t="s">
        <v>12</v>
      </c>
      <c r="J191" s="9" t="s">
        <v>473</v>
      </c>
    </row>
    <row r="192" spans="1:10" x14ac:dyDescent="0.3">
      <c r="A192" s="6" t="s">
        <v>445</v>
      </c>
      <c r="B192" s="7" t="s">
        <v>446</v>
      </c>
      <c r="C192" s="7" t="s">
        <v>4</v>
      </c>
      <c r="D192" s="6"/>
      <c r="E192" s="8" t="s">
        <v>477</v>
      </c>
      <c r="F192" s="2" t="str">
        <f t="shared" si="2"/>
        <v>4</v>
      </c>
      <c r="G192" s="8" t="s">
        <v>369</v>
      </c>
      <c r="H192" s="9" t="s">
        <v>12</v>
      </c>
      <c r="I192" s="9" t="s">
        <v>12</v>
      </c>
      <c r="J192" s="9" t="s">
        <v>473</v>
      </c>
    </row>
    <row r="193" spans="1:10" x14ac:dyDescent="0.3">
      <c r="A193" s="6" t="s">
        <v>31</v>
      </c>
      <c r="B193" s="6" t="s">
        <v>480</v>
      </c>
      <c r="C193" s="7" t="s">
        <v>16</v>
      </c>
      <c r="D193" s="6"/>
      <c r="E193" s="8" t="s">
        <v>481</v>
      </c>
      <c r="F193" s="2" t="str">
        <f t="shared" si="2"/>
        <v>6</v>
      </c>
      <c r="G193" s="8" t="s">
        <v>369</v>
      </c>
      <c r="H193" s="9" t="s">
        <v>12</v>
      </c>
      <c r="I193" s="9" t="s">
        <v>12</v>
      </c>
      <c r="J193" s="9" t="s">
        <v>508</v>
      </c>
    </row>
    <row r="194" spans="1:10" x14ac:dyDescent="0.3">
      <c r="A194" s="6" t="s">
        <v>343</v>
      </c>
      <c r="B194" s="6" t="s">
        <v>483</v>
      </c>
      <c r="C194" s="7" t="s">
        <v>16</v>
      </c>
      <c r="D194" s="6"/>
      <c r="E194" s="8" t="s">
        <v>484</v>
      </c>
      <c r="F194" s="2" t="str">
        <f t="shared" si="2"/>
        <v>4</v>
      </c>
      <c r="G194" s="8" t="s">
        <v>369</v>
      </c>
      <c r="H194" s="9" t="s">
        <v>12</v>
      </c>
      <c r="I194" s="9" t="s">
        <v>12</v>
      </c>
      <c r="J194" s="9" t="s">
        <v>508</v>
      </c>
    </row>
    <row r="195" spans="1:10" x14ac:dyDescent="0.3">
      <c r="A195" s="6" t="s">
        <v>343</v>
      </c>
      <c r="B195" s="6" t="s">
        <v>483</v>
      </c>
      <c r="C195" s="7" t="s">
        <v>16</v>
      </c>
      <c r="E195" s="3" t="s">
        <v>485</v>
      </c>
      <c r="F195" s="2" t="str">
        <f t="shared" ref="F195:F258" si="3">RIGHT(SUBSTITUTE(SUBSTITUTE(TRIM(E195)," ",""),"-",""),1)</f>
        <v>3</v>
      </c>
      <c r="G195" s="8" t="s">
        <v>369</v>
      </c>
      <c r="H195" s="2" t="s">
        <v>12</v>
      </c>
      <c r="I195" s="2" t="s">
        <v>12</v>
      </c>
      <c r="J195" s="9" t="s">
        <v>508</v>
      </c>
    </row>
    <row r="196" spans="1:10" x14ac:dyDescent="0.3">
      <c r="A196" s="6" t="s">
        <v>13</v>
      </c>
      <c r="B196" t="s">
        <v>487</v>
      </c>
      <c r="C196" s="7" t="s">
        <v>4</v>
      </c>
      <c r="E196" s="3" t="s">
        <v>488</v>
      </c>
      <c r="F196" s="2" t="str">
        <f t="shared" si="3"/>
        <v>3</v>
      </c>
      <c r="G196" s="8" t="s">
        <v>369</v>
      </c>
      <c r="H196" s="2" t="s">
        <v>12</v>
      </c>
      <c r="I196" s="2" t="s">
        <v>12</v>
      </c>
      <c r="J196" s="9" t="s">
        <v>508</v>
      </c>
    </row>
    <row r="197" spans="1:10" x14ac:dyDescent="0.3">
      <c r="A197" s="6" t="s">
        <v>48</v>
      </c>
      <c r="B197" t="s">
        <v>489</v>
      </c>
      <c r="C197" s="7" t="s">
        <v>4</v>
      </c>
      <c r="E197" s="3" t="s">
        <v>490</v>
      </c>
      <c r="F197" s="2" t="str">
        <f t="shared" si="3"/>
        <v>3</v>
      </c>
      <c r="G197" s="8" t="s">
        <v>369</v>
      </c>
      <c r="H197" s="2" t="s">
        <v>12</v>
      </c>
      <c r="I197" s="2" t="s">
        <v>12</v>
      </c>
      <c r="J197" s="9" t="s">
        <v>508</v>
      </c>
    </row>
    <row r="198" spans="1:10" x14ac:dyDescent="0.3">
      <c r="A198" s="6" t="s">
        <v>22</v>
      </c>
      <c r="B198" t="s">
        <v>492</v>
      </c>
      <c r="C198" s="7" t="s">
        <v>29</v>
      </c>
      <c r="E198" s="3" t="s">
        <v>493</v>
      </c>
      <c r="F198" s="2" t="str">
        <f t="shared" si="3"/>
        <v>8</v>
      </c>
      <c r="G198" s="8" t="s">
        <v>369</v>
      </c>
      <c r="H198" s="2" t="s">
        <v>12</v>
      </c>
      <c r="I198" s="2" t="s">
        <v>12</v>
      </c>
      <c r="J198" s="9" t="s">
        <v>508</v>
      </c>
    </row>
    <row r="199" spans="1:10" x14ac:dyDescent="0.3">
      <c r="A199" s="6" t="s">
        <v>101</v>
      </c>
      <c r="B199" t="s">
        <v>495</v>
      </c>
      <c r="C199" s="7" t="s">
        <v>29</v>
      </c>
      <c r="E199" s="3" t="s">
        <v>496</v>
      </c>
      <c r="F199" s="2" t="str">
        <f t="shared" si="3"/>
        <v>6</v>
      </c>
      <c r="G199" s="8" t="s">
        <v>369</v>
      </c>
      <c r="H199" s="2" t="s">
        <v>12</v>
      </c>
      <c r="I199" s="2" t="s">
        <v>12</v>
      </c>
      <c r="J199" s="9" t="s">
        <v>508</v>
      </c>
    </row>
    <row r="200" spans="1:10" x14ac:dyDescent="0.3">
      <c r="A200" s="6" t="s">
        <v>31</v>
      </c>
      <c r="B200" t="s">
        <v>497</v>
      </c>
      <c r="C200" s="7" t="s">
        <v>4</v>
      </c>
      <c r="E200" s="3" t="s">
        <v>498</v>
      </c>
      <c r="F200" s="2" t="str">
        <f t="shared" si="3"/>
        <v>7</v>
      </c>
      <c r="G200" s="8" t="s">
        <v>369</v>
      </c>
      <c r="H200" s="2" t="s">
        <v>12</v>
      </c>
      <c r="I200" s="2" t="s">
        <v>12</v>
      </c>
      <c r="J200" s="9" t="s">
        <v>508</v>
      </c>
    </row>
    <row r="201" spans="1:10" x14ac:dyDescent="0.3">
      <c r="A201" s="6" t="s">
        <v>250</v>
      </c>
      <c r="B201" t="s">
        <v>500</v>
      </c>
      <c r="C201" s="7" t="s">
        <v>16</v>
      </c>
      <c r="E201" s="3" t="s">
        <v>501</v>
      </c>
      <c r="F201" s="2" t="str">
        <f t="shared" si="3"/>
        <v>5</v>
      </c>
      <c r="G201" s="8" t="s">
        <v>369</v>
      </c>
      <c r="H201" s="2" t="s">
        <v>12</v>
      </c>
      <c r="I201" s="2" t="s">
        <v>12</v>
      </c>
      <c r="J201" s="9" t="s">
        <v>508</v>
      </c>
    </row>
    <row r="202" spans="1:10" x14ac:dyDescent="0.3">
      <c r="A202" s="6" t="s">
        <v>78</v>
      </c>
      <c r="B202" t="s">
        <v>503</v>
      </c>
      <c r="C202" s="7" t="s">
        <v>4</v>
      </c>
      <c r="E202" s="3" t="s">
        <v>504</v>
      </c>
      <c r="F202" s="2" t="str">
        <f t="shared" si="3"/>
        <v>4</v>
      </c>
      <c r="G202" s="8" t="s">
        <v>369</v>
      </c>
      <c r="H202" s="2" t="s">
        <v>12</v>
      </c>
      <c r="I202" s="2" t="s">
        <v>12</v>
      </c>
      <c r="J202" s="9" t="s">
        <v>508</v>
      </c>
    </row>
    <row r="203" spans="1:10" x14ac:dyDescent="0.3">
      <c r="A203" s="6" t="s">
        <v>187</v>
      </c>
      <c r="B203" t="s">
        <v>506</v>
      </c>
      <c r="C203" s="7" t="s">
        <v>4</v>
      </c>
      <c r="E203" s="3" t="s">
        <v>507</v>
      </c>
      <c r="F203" s="2" t="str">
        <f t="shared" si="3"/>
        <v>6</v>
      </c>
      <c r="G203" s="8" t="s">
        <v>369</v>
      </c>
      <c r="H203" s="2" t="s">
        <v>12</v>
      </c>
      <c r="I203" s="2" t="s">
        <v>12</v>
      </c>
      <c r="J203" s="9" t="s">
        <v>508</v>
      </c>
    </row>
    <row r="204" spans="1:10" x14ac:dyDescent="0.3">
      <c r="A204" s="6" t="s">
        <v>509</v>
      </c>
      <c r="B204" t="s">
        <v>510</v>
      </c>
      <c r="C204" s="7" t="s">
        <v>26</v>
      </c>
      <c r="D204" t="s">
        <v>512</v>
      </c>
      <c r="E204" s="3" t="s">
        <v>513</v>
      </c>
      <c r="F204" s="2" t="str">
        <f t="shared" si="3"/>
        <v>1</v>
      </c>
      <c r="G204" s="8" t="s">
        <v>369</v>
      </c>
      <c r="H204" s="2" t="s">
        <v>12</v>
      </c>
      <c r="I204" s="2" t="s">
        <v>12</v>
      </c>
      <c r="J204" s="9" t="s">
        <v>508</v>
      </c>
    </row>
    <row r="205" spans="1:10" x14ac:dyDescent="0.3">
      <c r="A205" s="6" t="s">
        <v>178</v>
      </c>
      <c r="B205" t="s">
        <v>515</v>
      </c>
      <c r="C205" s="7" t="s">
        <v>16</v>
      </c>
      <c r="E205" s="3" t="s">
        <v>516</v>
      </c>
      <c r="F205" s="2" t="str">
        <f t="shared" si="3"/>
        <v>1</v>
      </c>
      <c r="G205" s="8" t="s">
        <v>369</v>
      </c>
      <c r="H205" s="2" t="s">
        <v>12</v>
      </c>
      <c r="I205" s="2" t="s">
        <v>12</v>
      </c>
      <c r="J205" s="9" t="s">
        <v>508</v>
      </c>
    </row>
    <row r="206" spans="1:10" x14ac:dyDescent="0.3">
      <c r="A206" s="6" t="s">
        <v>517</v>
      </c>
      <c r="B206" t="s">
        <v>518</v>
      </c>
      <c r="C206" s="7" t="s">
        <v>26</v>
      </c>
      <c r="D206" t="s">
        <v>524</v>
      </c>
      <c r="E206" s="3" t="s">
        <v>525</v>
      </c>
      <c r="F206" s="2" t="str">
        <f t="shared" si="3"/>
        <v>1</v>
      </c>
      <c r="G206" s="8" t="s">
        <v>369</v>
      </c>
      <c r="H206" s="2" t="s">
        <v>12</v>
      </c>
      <c r="I206" s="2" t="s">
        <v>12</v>
      </c>
      <c r="J206" s="9" t="s">
        <v>508</v>
      </c>
    </row>
    <row r="207" spans="1:10" x14ac:dyDescent="0.3">
      <c r="A207" s="6" t="s">
        <v>517</v>
      </c>
      <c r="B207" t="s">
        <v>519</v>
      </c>
      <c r="C207" s="7" t="s">
        <v>26</v>
      </c>
      <c r="D207" t="s">
        <v>524</v>
      </c>
      <c r="E207" s="3" t="s">
        <v>526</v>
      </c>
      <c r="F207" s="2" t="str">
        <f t="shared" si="3"/>
        <v>9</v>
      </c>
      <c r="G207" s="8" t="s">
        <v>369</v>
      </c>
      <c r="H207" s="2" t="s">
        <v>12</v>
      </c>
      <c r="I207" s="2" t="s">
        <v>12</v>
      </c>
      <c r="J207" s="9" t="s">
        <v>508</v>
      </c>
    </row>
    <row r="208" spans="1:10" x14ac:dyDescent="0.3">
      <c r="A208" s="6" t="s">
        <v>517</v>
      </c>
      <c r="B208" t="s">
        <v>520</v>
      </c>
      <c r="C208" s="7" t="s">
        <v>26</v>
      </c>
      <c r="D208" t="s">
        <v>524</v>
      </c>
      <c r="E208" s="3" t="s">
        <v>527</v>
      </c>
      <c r="F208" s="2" t="str">
        <f t="shared" si="3"/>
        <v>1</v>
      </c>
      <c r="G208" s="8" t="s">
        <v>369</v>
      </c>
      <c r="H208" s="2" t="s">
        <v>12</v>
      </c>
      <c r="I208" s="2" t="s">
        <v>12</v>
      </c>
      <c r="J208" s="9" t="s">
        <v>508</v>
      </c>
    </row>
    <row r="209" spans="1:10" x14ac:dyDescent="0.3">
      <c r="A209" s="6" t="s">
        <v>517</v>
      </c>
      <c r="B209" t="s">
        <v>520</v>
      </c>
      <c r="C209" s="7" t="s">
        <v>29</v>
      </c>
      <c r="E209" s="3" t="s">
        <v>528</v>
      </c>
      <c r="F209" s="2" t="str">
        <f t="shared" si="3"/>
        <v>3</v>
      </c>
      <c r="G209" s="8" t="s">
        <v>369</v>
      </c>
      <c r="H209" s="2" t="s">
        <v>12</v>
      </c>
      <c r="I209" s="2" t="s">
        <v>12</v>
      </c>
      <c r="J209" s="9" t="s">
        <v>508</v>
      </c>
    </row>
    <row r="210" spans="1:10" x14ac:dyDescent="0.3">
      <c r="A210" s="6" t="s">
        <v>517</v>
      </c>
      <c r="B210" t="s">
        <v>521</v>
      </c>
      <c r="C210" s="7" t="s">
        <v>26</v>
      </c>
      <c r="D210" t="s">
        <v>524</v>
      </c>
      <c r="E210" s="3" t="s">
        <v>529</v>
      </c>
      <c r="F210" s="2" t="str">
        <f t="shared" si="3"/>
        <v>2</v>
      </c>
      <c r="G210" s="8" t="s">
        <v>369</v>
      </c>
      <c r="H210" s="2" t="s">
        <v>12</v>
      </c>
      <c r="I210" s="2" t="s">
        <v>12</v>
      </c>
      <c r="J210" s="9" t="s">
        <v>508</v>
      </c>
    </row>
    <row r="211" spans="1:10" x14ac:dyDescent="0.3">
      <c r="A211" s="6" t="s">
        <v>517</v>
      </c>
      <c r="B211" t="s">
        <v>522</v>
      </c>
      <c r="C211" s="7" t="s">
        <v>26</v>
      </c>
      <c r="D211" t="s">
        <v>524</v>
      </c>
      <c r="E211" s="3" t="s">
        <v>530</v>
      </c>
      <c r="F211" s="2" t="str">
        <f t="shared" si="3"/>
        <v>9</v>
      </c>
      <c r="G211" s="8" t="s">
        <v>369</v>
      </c>
      <c r="H211" s="2" t="s">
        <v>12</v>
      </c>
      <c r="I211" s="2" t="s">
        <v>12</v>
      </c>
      <c r="J211" s="9" t="s">
        <v>508</v>
      </c>
    </row>
    <row r="212" spans="1:10" x14ac:dyDescent="0.3">
      <c r="A212" s="6" t="s">
        <v>8</v>
      </c>
      <c r="B212" t="s">
        <v>532</v>
      </c>
      <c r="C212" s="7" t="s">
        <v>26</v>
      </c>
      <c r="D212" t="s">
        <v>534</v>
      </c>
      <c r="E212" s="3" t="s">
        <v>535</v>
      </c>
      <c r="F212" s="2" t="str">
        <f t="shared" si="3"/>
        <v>1</v>
      </c>
      <c r="G212" s="8" t="s">
        <v>369</v>
      </c>
      <c r="H212" s="2" t="s">
        <v>12</v>
      </c>
      <c r="I212" s="2" t="s">
        <v>12</v>
      </c>
      <c r="J212" s="9" t="s">
        <v>508</v>
      </c>
    </row>
    <row r="213" spans="1:10" x14ac:dyDescent="0.3">
      <c r="A213" s="6" t="s">
        <v>31</v>
      </c>
      <c r="B213" t="s">
        <v>537</v>
      </c>
      <c r="C213" s="7" t="s">
        <v>4</v>
      </c>
      <c r="E213" s="3" t="s">
        <v>538</v>
      </c>
      <c r="F213" s="2" t="str">
        <f t="shared" si="3"/>
        <v>1</v>
      </c>
      <c r="G213" s="8" t="s">
        <v>369</v>
      </c>
      <c r="H213" s="2" t="s">
        <v>12</v>
      </c>
      <c r="I213" s="2" t="s">
        <v>12</v>
      </c>
      <c r="J213" s="9" t="s">
        <v>508</v>
      </c>
    </row>
    <row r="214" spans="1:10" x14ac:dyDescent="0.3">
      <c r="A214" s="6" t="s">
        <v>543</v>
      </c>
      <c r="B214" t="s">
        <v>544</v>
      </c>
      <c r="C214" s="7" t="s">
        <v>4</v>
      </c>
      <c r="E214" s="3" t="s">
        <v>545</v>
      </c>
      <c r="F214" s="2" t="str">
        <f t="shared" si="3"/>
        <v>4</v>
      </c>
      <c r="G214" s="8" t="s">
        <v>369</v>
      </c>
      <c r="H214" s="2" t="s">
        <v>12</v>
      </c>
      <c r="I214" s="2" t="s">
        <v>12</v>
      </c>
      <c r="J214" s="9" t="s">
        <v>553</v>
      </c>
    </row>
    <row r="215" spans="1:10" x14ac:dyDescent="0.3">
      <c r="A215" s="6" t="s">
        <v>43</v>
      </c>
      <c r="B215" t="s">
        <v>547</v>
      </c>
      <c r="C215" s="7" t="s">
        <v>26</v>
      </c>
      <c r="D215" t="s">
        <v>549</v>
      </c>
      <c r="E215" s="3" t="s">
        <v>550</v>
      </c>
      <c r="F215" s="2" t="str">
        <f t="shared" si="3"/>
        <v>2</v>
      </c>
      <c r="G215" s="8" t="s">
        <v>369</v>
      </c>
      <c r="H215" s="2" t="s">
        <v>12</v>
      </c>
      <c r="I215" s="2" t="s">
        <v>12</v>
      </c>
      <c r="J215" s="9" t="s">
        <v>553</v>
      </c>
    </row>
    <row r="216" spans="1:10" x14ac:dyDescent="0.3">
      <c r="A216" s="6" t="s">
        <v>543</v>
      </c>
      <c r="B216" t="s">
        <v>551</v>
      </c>
      <c r="C216" s="7" t="s">
        <v>4</v>
      </c>
      <c r="E216" s="3" t="s">
        <v>552</v>
      </c>
      <c r="F216" s="2" t="str">
        <f t="shared" si="3"/>
        <v>6</v>
      </c>
      <c r="G216" s="8" t="s">
        <v>369</v>
      </c>
      <c r="H216" s="2" t="s">
        <v>12</v>
      </c>
      <c r="I216" s="2" t="s">
        <v>12</v>
      </c>
      <c r="J216" s="9" t="s">
        <v>553</v>
      </c>
    </row>
    <row r="217" spans="1:10" x14ac:dyDescent="0.3">
      <c r="A217" s="6" t="s">
        <v>8</v>
      </c>
      <c r="B217" t="s">
        <v>555</v>
      </c>
      <c r="C217" s="7" t="s">
        <v>4</v>
      </c>
      <c r="E217" s="3" t="s">
        <v>556</v>
      </c>
      <c r="F217" s="2" t="str">
        <f t="shared" si="3"/>
        <v>3</v>
      </c>
      <c r="G217" s="8" t="s">
        <v>369</v>
      </c>
      <c r="H217" s="2" t="s">
        <v>12</v>
      </c>
      <c r="I217" s="2" t="s">
        <v>12</v>
      </c>
      <c r="J217" s="9" t="s">
        <v>553</v>
      </c>
    </row>
    <row r="218" spans="1:10" x14ac:dyDescent="0.3">
      <c r="A218" s="6" t="s">
        <v>187</v>
      </c>
      <c r="B218" t="s">
        <v>557</v>
      </c>
      <c r="C218" s="7" t="s">
        <v>16</v>
      </c>
      <c r="E218" s="3" t="s">
        <v>558</v>
      </c>
      <c r="F218" s="2" t="str">
        <f t="shared" si="3"/>
        <v>4</v>
      </c>
      <c r="G218" s="8" t="s">
        <v>369</v>
      </c>
      <c r="H218" s="2" t="s">
        <v>12</v>
      </c>
      <c r="I218" s="2" t="s">
        <v>12</v>
      </c>
      <c r="J218" s="9" t="s">
        <v>553</v>
      </c>
    </row>
    <row r="219" spans="1:10" x14ac:dyDescent="0.3">
      <c r="A219" s="6" t="s">
        <v>55</v>
      </c>
      <c r="B219" t="s">
        <v>560</v>
      </c>
      <c r="C219" s="7" t="s">
        <v>26</v>
      </c>
      <c r="D219" t="s">
        <v>549</v>
      </c>
      <c r="E219" s="3" t="s">
        <v>563</v>
      </c>
      <c r="F219" s="2" t="str">
        <f t="shared" si="3"/>
        <v>5</v>
      </c>
      <c r="G219" s="8" t="s">
        <v>369</v>
      </c>
      <c r="H219" s="2" t="s">
        <v>12</v>
      </c>
      <c r="I219" s="2" t="s">
        <v>12</v>
      </c>
      <c r="J219" s="9" t="s">
        <v>553</v>
      </c>
    </row>
    <row r="220" spans="1:10" x14ac:dyDescent="0.3">
      <c r="A220" s="6" t="s">
        <v>187</v>
      </c>
      <c r="B220" t="s">
        <v>6</v>
      </c>
      <c r="C220" s="7" t="s">
        <v>26</v>
      </c>
      <c r="D220" t="s">
        <v>565</v>
      </c>
      <c r="E220" s="3" t="s">
        <v>566</v>
      </c>
      <c r="F220" s="2" t="str">
        <f t="shared" si="3"/>
        <v>9</v>
      </c>
      <c r="G220" s="8" t="s">
        <v>369</v>
      </c>
      <c r="H220" s="2" t="s">
        <v>12</v>
      </c>
      <c r="I220" s="2" t="s">
        <v>12</v>
      </c>
      <c r="J220" s="9" t="s">
        <v>553</v>
      </c>
    </row>
    <row r="221" spans="1:10" x14ac:dyDescent="0.3">
      <c r="A221" s="6" t="s">
        <v>19</v>
      </c>
      <c r="B221" t="s">
        <v>568</v>
      </c>
      <c r="C221" s="7" t="s">
        <v>4</v>
      </c>
      <c r="E221" s="3" t="s">
        <v>569</v>
      </c>
      <c r="F221" s="2" t="str">
        <f t="shared" si="3"/>
        <v>4</v>
      </c>
      <c r="G221" s="8" t="s">
        <v>369</v>
      </c>
      <c r="H221" s="2" t="s">
        <v>12</v>
      </c>
      <c r="I221" s="2" t="s">
        <v>12</v>
      </c>
      <c r="J221" s="9" t="s">
        <v>553</v>
      </c>
    </row>
    <row r="222" spans="1:10" x14ac:dyDescent="0.3">
      <c r="A222" s="6" t="s">
        <v>13</v>
      </c>
      <c r="B222" t="s">
        <v>570</v>
      </c>
      <c r="C222" s="7" t="s">
        <v>4</v>
      </c>
      <c r="E222" s="3" t="s">
        <v>571</v>
      </c>
      <c r="F222" s="2" t="str">
        <f t="shared" si="3"/>
        <v>3</v>
      </c>
      <c r="G222" s="8" t="s">
        <v>369</v>
      </c>
      <c r="H222" s="2" t="s">
        <v>12</v>
      </c>
      <c r="I222" s="2" t="s">
        <v>12</v>
      </c>
      <c r="J222" s="2" t="s">
        <v>602</v>
      </c>
    </row>
    <row r="223" spans="1:10" x14ac:dyDescent="0.3">
      <c r="A223" s="6" t="s">
        <v>245</v>
      </c>
      <c r="B223" t="s">
        <v>573</v>
      </c>
      <c r="C223" s="7" t="s">
        <v>4</v>
      </c>
      <c r="E223" s="3" t="s">
        <v>574</v>
      </c>
      <c r="F223" s="2" t="str">
        <f t="shared" si="3"/>
        <v>5</v>
      </c>
      <c r="G223" s="8" t="s">
        <v>369</v>
      </c>
      <c r="H223" s="2" t="s">
        <v>12</v>
      </c>
      <c r="I223" s="2" t="s">
        <v>12</v>
      </c>
      <c r="J223" s="2" t="s">
        <v>602</v>
      </c>
    </row>
    <row r="224" spans="1:10" x14ac:dyDescent="0.3">
      <c r="A224" s="6" t="s">
        <v>48</v>
      </c>
      <c r="B224" t="s">
        <v>575</v>
      </c>
      <c r="C224" s="7" t="s">
        <v>4</v>
      </c>
      <c r="E224" s="3" t="s">
        <v>576</v>
      </c>
      <c r="F224" s="2" t="str">
        <f t="shared" si="3"/>
        <v>9</v>
      </c>
      <c r="G224" s="8" t="s">
        <v>369</v>
      </c>
      <c r="H224" s="2" t="s">
        <v>12</v>
      </c>
      <c r="I224" s="2" t="s">
        <v>12</v>
      </c>
      <c r="J224" s="2" t="s">
        <v>602</v>
      </c>
    </row>
    <row r="225" spans="1:10" x14ac:dyDescent="0.3">
      <c r="A225" s="6" t="s">
        <v>68</v>
      </c>
      <c r="B225" t="s">
        <v>577</v>
      </c>
      <c r="C225" s="7" t="s">
        <v>4</v>
      </c>
      <c r="E225" s="3" t="s">
        <v>578</v>
      </c>
      <c r="F225" s="2" t="str">
        <f t="shared" si="3"/>
        <v>2</v>
      </c>
      <c r="G225" s="8" t="s">
        <v>369</v>
      </c>
      <c r="H225" s="2" t="s">
        <v>12</v>
      </c>
      <c r="I225" s="2" t="s">
        <v>12</v>
      </c>
      <c r="J225" s="2" t="s">
        <v>602</v>
      </c>
    </row>
    <row r="226" spans="1:10" x14ac:dyDescent="0.3">
      <c r="A226" s="6" t="s">
        <v>13</v>
      </c>
      <c r="B226" t="s">
        <v>579</v>
      </c>
      <c r="C226" s="7" t="s">
        <v>4</v>
      </c>
      <c r="E226" s="3" t="s">
        <v>580</v>
      </c>
      <c r="F226" s="2" t="str">
        <f t="shared" si="3"/>
        <v>9</v>
      </c>
      <c r="G226" s="8" t="s">
        <v>369</v>
      </c>
      <c r="H226" s="2" t="s">
        <v>12</v>
      </c>
      <c r="I226" s="2" t="s">
        <v>12</v>
      </c>
      <c r="J226" s="2" t="s">
        <v>602</v>
      </c>
    </row>
    <row r="227" spans="1:10" x14ac:dyDescent="0.3">
      <c r="A227" s="6" t="s">
        <v>13</v>
      </c>
      <c r="B227" t="s">
        <v>592</v>
      </c>
      <c r="C227" s="7" t="s">
        <v>4</v>
      </c>
      <c r="E227" s="3" t="s">
        <v>593</v>
      </c>
      <c r="F227" s="2" t="str">
        <f t="shared" si="3"/>
        <v>2</v>
      </c>
      <c r="G227" s="8" t="s">
        <v>369</v>
      </c>
      <c r="H227" s="2" t="s">
        <v>12</v>
      </c>
      <c r="I227" s="2" t="s">
        <v>12</v>
      </c>
      <c r="J227" s="2" t="s">
        <v>602</v>
      </c>
    </row>
    <row r="228" spans="1:10" x14ac:dyDescent="0.3">
      <c r="A228" s="6" t="s">
        <v>92</v>
      </c>
      <c r="B228" t="s">
        <v>595</v>
      </c>
      <c r="C228" s="7" t="s">
        <v>4</v>
      </c>
      <c r="E228" s="3" t="s">
        <v>596</v>
      </c>
      <c r="F228" s="2" t="str">
        <f t="shared" si="3"/>
        <v>1</v>
      </c>
      <c r="G228" s="8" t="s">
        <v>369</v>
      </c>
      <c r="H228" s="2" t="s">
        <v>12</v>
      </c>
      <c r="I228" s="2" t="s">
        <v>12</v>
      </c>
      <c r="J228" s="2" t="s">
        <v>602</v>
      </c>
    </row>
    <row r="229" spans="1:10" x14ac:dyDescent="0.3">
      <c r="A229" s="6" t="s">
        <v>68</v>
      </c>
      <c r="B229" t="s">
        <v>597</v>
      </c>
      <c r="C229" s="7" t="s">
        <v>4</v>
      </c>
      <c r="E229" s="3" t="s">
        <v>598</v>
      </c>
      <c r="F229" s="2" t="str">
        <f t="shared" si="3"/>
        <v>6</v>
      </c>
      <c r="G229" s="8" t="s">
        <v>369</v>
      </c>
      <c r="H229" s="2" t="s">
        <v>12</v>
      </c>
      <c r="I229" s="2" t="s">
        <v>12</v>
      </c>
      <c r="J229" s="2" t="s">
        <v>602</v>
      </c>
    </row>
    <row r="230" spans="1:10" x14ac:dyDescent="0.3">
      <c r="A230" s="6" t="s">
        <v>175</v>
      </c>
      <c r="B230" t="s">
        <v>600</v>
      </c>
      <c r="C230" s="7" t="s">
        <v>4</v>
      </c>
      <c r="E230" s="3" t="s">
        <v>601</v>
      </c>
      <c r="F230" s="2" t="str">
        <f t="shared" si="3"/>
        <v>7</v>
      </c>
      <c r="G230" s="8" t="s">
        <v>369</v>
      </c>
      <c r="H230" s="2" t="s">
        <v>12</v>
      </c>
      <c r="I230" s="2" t="s">
        <v>12</v>
      </c>
      <c r="J230" s="2" t="s">
        <v>602</v>
      </c>
    </row>
    <row r="231" spans="1:10" x14ac:dyDescent="0.3">
      <c r="A231" s="6" t="s">
        <v>603</v>
      </c>
      <c r="B231" t="s">
        <v>604</v>
      </c>
      <c r="C231" s="7" t="s">
        <v>26</v>
      </c>
      <c r="D231" t="s">
        <v>607</v>
      </c>
      <c r="E231" s="3" t="s">
        <v>608</v>
      </c>
      <c r="F231" s="2" t="str">
        <f t="shared" si="3"/>
        <v>6</v>
      </c>
      <c r="G231" s="8" t="s">
        <v>369</v>
      </c>
      <c r="H231" s="2" t="s">
        <v>12</v>
      </c>
      <c r="I231" s="2" t="s">
        <v>12</v>
      </c>
      <c r="J231" s="2" t="s">
        <v>602</v>
      </c>
    </row>
    <row r="232" spans="1:10" x14ac:dyDescent="0.3">
      <c r="A232" s="6" t="s">
        <v>603</v>
      </c>
      <c r="B232" t="s">
        <v>605</v>
      </c>
      <c r="C232" s="7" t="s">
        <v>26</v>
      </c>
      <c r="D232" t="s">
        <v>607</v>
      </c>
      <c r="E232" s="3" t="s">
        <v>609</v>
      </c>
      <c r="F232" s="2" t="str">
        <f t="shared" si="3"/>
        <v>4</v>
      </c>
      <c r="G232" s="8" t="s">
        <v>369</v>
      </c>
      <c r="H232" s="2" t="s">
        <v>12</v>
      </c>
      <c r="I232" s="2" t="s">
        <v>12</v>
      </c>
      <c r="J232" s="2" t="s">
        <v>602</v>
      </c>
    </row>
    <row r="233" spans="1:10" x14ac:dyDescent="0.3">
      <c r="A233" s="6" t="s">
        <v>150</v>
      </c>
      <c r="B233" t="s">
        <v>611</v>
      </c>
      <c r="C233" s="7" t="s">
        <v>4</v>
      </c>
      <c r="E233" s="3" t="s">
        <v>612</v>
      </c>
      <c r="F233" s="2" t="str">
        <f t="shared" si="3"/>
        <v>3</v>
      </c>
      <c r="G233" s="8" t="s">
        <v>369</v>
      </c>
      <c r="H233" s="2" t="s">
        <v>12</v>
      </c>
      <c r="I233" s="2" t="s">
        <v>12</v>
      </c>
      <c r="J233" s="2" t="s">
        <v>602</v>
      </c>
    </row>
    <row r="234" spans="1:10" x14ac:dyDescent="0.3">
      <c r="A234" s="6" t="s">
        <v>19</v>
      </c>
      <c r="B234" t="s">
        <v>614</v>
      </c>
      <c r="C234" s="7" t="s">
        <v>16</v>
      </c>
      <c r="E234" s="3" t="s">
        <v>615</v>
      </c>
      <c r="F234" s="2" t="str">
        <f t="shared" si="3"/>
        <v>5</v>
      </c>
      <c r="G234" s="8" t="s">
        <v>369</v>
      </c>
      <c r="H234" s="2" t="s">
        <v>12</v>
      </c>
      <c r="I234" s="2" t="s">
        <v>12</v>
      </c>
      <c r="J234" s="2" t="s">
        <v>602</v>
      </c>
    </row>
    <row r="235" spans="1:10" x14ac:dyDescent="0.3">
      <c r="A235" s="6" t="s">
        <v>48</v>
      </c>
      <c r="B235" t="s">
        <v>618</v>
      </c>
      <c r="C235" s="7" t="s">
        <v>16</v>
      </c>
      <c r="E235" s="3" t="s">
        <v>619</v>
      </c>
      <c r="F235" s="2" t="str">
        <f t="shared" si="3"/>
        <v>6</v>
      </c>
      <c r="G235" s="8" t="s">
        <v>369</v>
      </c>
      <c r="H235" s="2" t="s">
        <v>12</v>
      </c>
      <c r="I235" s="2" t="s">
        <v>12</v>
      </c>
      <c r="J235" s="2" t="s">
        <v>602</v>
      </c>
    </row>
    <row r="236" spans="1:10" x14ac:dyDescent="0.3">
      <c r="A236" s="6" t="s">
        <v>187</v>
      </c>
      <c r="B236" t="s">
        <v>620</v>
      </c>
      <c r="C236" s="7" t="s">
        <v>4</v>
      </c>
      <c r="E236" s="3" t="s">
        <v>621</v>
      </c>
      <c r="F236" s="2" t="str">
        <f t="shared" si="3"/>
        <v>5</v>
      </c>
      <c r="G236" s="8" t="s">
        <v>369</v>
      </c>
      <c r="H236" s="2" t="s">
        <v>12</v>
      </c>
      <c r="I236" s="2" t="s">
        <v>12</v>
      </c>
      <c r="J236" s="2" t="s">
        <v>602</v>
      </c>
    </row>
    <row r="237" spans="1:10" x14ac:dyDescent="0.3">
      <c r="A237" s="6" t="s">
        <v>417</v>
      </c>
      <c r="B237" t="s">
        <v>623</v>
      </c>
      <c r="C237" s="7" t="s">
        <v>4</v>
      </c>
      <c r="E237" s="3" t="s">
        <v>624</v>
      </c>
      <c r="F237" s="2" t="str">
        <f t="shared" si="3"/>
        <v>5</v>
      </c>
      <c r="G237" s="8" t="s">
        <v>369</v>
      </c>
      <c r="H237" s="2" t="s">
        <v>12</v>
      </c>
      <c r="I237" s="2" t="s">
        <v>12</v>
      </c>
      <c r="J237" s="2" t="s">
        <v>602</v>
      </c>
    </row>
    <row r="238" spans="1:10" x14ac:dyDescent="0.3">
      <c r="A238" s="6" t="s">
        <v>417</v>
      </c>
      <c r="B238" t="s">
        <v>623</v>
      </c>
      <c r="C238" s="7" t="s">
        <v>4</v>
      </c>
      <c r="E238" s="3" t="s">
        <v>625</v>
      </c>
      <c r="F238" s="2" t="str">
        <f t="shared" si="3"/>
        <v>1</v>
      </c>
      <c r="G238" s="8" t="s">
        <v>369</v>
      </c>
      <c r="H238" s="2" t="s">
        <v>12</v>
      </c>
      <c r="I238" s="2" t="s">
        <v>12</v>
      </c>
      <c r="J238" s="2" t="s">
        <v>602</v>
      </c>
    </row>
    <row r="239" spans="1:10" x14ac:dyDescent="0.3">
      <c r="A239" s="6" t="s">
        <v>13</v>
      </c>
      <c r="B239" t="s">
        <v>627</v>
      </c>
      <c r="C239" s="7" t="s">
        <v>4</v>
      </c>
      <c r="E239" s="3" t="s">
        <v>628</v>
      </c>
      <c r="F239" s="2" t="str">
        <f t="shared" si="3"/>
        <v>5</v>
      </c>
      <c r="G239" s="8" t="s">
        <v>369</v>
      </c>
      <c r="H239" s="2" t="s">
        <v>12</v>
      </c>
      <c r="I239" s="2" t="s">
        <v>12</v>
      </c>
      <c r="J239" s="2" t="s">
        <v>602</v>
      </c>
    </row>
    <row r="240" spans="1:10" x14ac:dyDescent="0.3">
      <c r="A240" s="6" t="s">
        <v>58</v>
      </c>
      <c r="B240" t="s">
        <v>630</v>
      </c>
      <c r="C240" s="7" t="s">
        <v>4</v>
      </c>
      <c r="E240" s="3" t="s">
        <v>631</v>
      </c>
      <c r="F240" s="2" t="str">
        <f t="shared" si="3"/>
        <v>2</v>
      </c>
      <c r="G240" s="8" t="s">
        <v>369</v>
      </c>
      <c r="H240" s="2" t="s">
        <v>12</v>
      </c>
      <c r="I240" s="2" t="s">
        <v>12</v>
      </c>
      <c r="J240" s="2" t="s">
        <v>602</v>
      </c>
    </row>
    <row r="241" spans="1:10" x14ac:dyDescent="0.3">
      <c r="A241" s="6" t="s">
        <v>632</v>
      </c>
      <c r="B241" t="s">
        <v>633</v>
      </c>
      <c r="C241" s="7" t="s">
        <v>4</v>
      </c>
      <c r="E241" s="3" t="s">
        <v>634</v>
      </c>
      <c r="F241" s="2" t="str">
        <f t="shared" si="3"/>
        <v>1</v>
      </c>
      <c r="G241" s="8" t="s">
        <v>369</v>
      </c>
      <c r="H241" s="2" t="s">
        <v>12</v>
      </c>
      <c r="I241" s="2" t="s">
        <v>12</v>
      </c>
      <c r="J241" s="2" t="s">
        <v>602</v>
      </c>
    </row>
    <row r="242" spans="1:10" x14ac:dyDescent="0.3">
      <c r="A242" s="6" t="s">
        <v>22</v>
      </c>
      <c r="B242" t="s">
        <v>636</v>
      </c>
      <c r="C242" s="7" t="s">
        <v>4</v>
      </c>
      <c r="E242" s="3" t="s">
        <v>637</v>
      </c>
      <c r="F242" s="2" t="str">
        <f t="shared" si="3"/>
        <v>0</v>
      </c>
      <c r="G242" s="8" t="s">
        <v>369</v>
      </c>
      <c r="H242" s="2" t="s">
        <v>12</v>
      </c>
      <c r="I242" s="2" t="s">
        <v>12</v>
      </c>
      <c r="J242" s="2" t="s">
        <v>602</v>
      </c>
    </row>
    <row r="243" spans="1:10" x14ac:dyDescent="0.3">
      <c r="A243" s="6" t="s">
        <v>242</v>
      </c>
      <c r="B243" t="s">
        <v>395</v>
      </c>
      <c r="C243" s="7" t="s">
        <v>4</v>
      </c>
      <c r="E243" s="3" t="s">
        <v>640</v>
      </c>
      <c r="F243" s="2" t="str">
        <f t="shared" si="3"/>
        <v>0</v>
      </c>
      <c r="G243" s="8" t="s">
        <v>369</v>
      </c>
      <c r="H243" s="2" t="s">
        <v>12</v>
      </c>
      <c r="I243" s="2" t="s">
        <v>12</v>
      </c>
      <c r="J243" s="2" t="s">
        <v>602</v>
      </c>
    </row>
    <row r="244" spans="1:10" x14ac:dyDescent="0.3">
      <c r="A244" s="6" t="s">
        <v>78</v>
      </c>
      <c r="B244" t="s">
        <v>642</v>
      </c>
      <c r="C244" s="7" t="s">
        <v>26</v>
      </c>
      <c r="D244" t="s">
        <v>643</v>
      </c>
      <c r="E244" s="3" t="s">
        <v>644</v>
      </c>
      <c r="F244" s="2" t="str">
        <f t="shared" si="3"/>
        <v>2</v>
      </c>
      <c r="G244" s="8" t="s">
        <v>369</v>
      </c>
      <c r="H244" s="2" t="s">
        <v>12</v>
      </c>
      <c r="I244" s="2" t="s">
        <v>12</v>
      </c>
      <c r="J244" s="2" t="s">
        <v>602</v>
      </c>
    </row>
    <row r="245" spans="1:10" x14ac:dyDescent="0.3">
      <c r="A245" s="6" t="s">
        <v>48</v>
      </c>
      <c r="B245" t="s">
        <v>49</v>
      </c>
      <c r="C245" s="7" t="s">
        <v>4</v>
      </c>
      <c r="E245" s="3" t="s">
        <v>646</v>
      </c>
      <c r="F245" s="2" t="str">
        <f t="shared" si="3"/>
        <v>1</v>
      </c>
      <c r="G245" s="8" t="s">
        <v>369</v>
      </c>
      <c r="H245" s="2" t="s">
        <v>12</v>
      </c>
      <c r="I245" s="2" t="s">
        <v>12</v>
      </c>
      <c r="J245" s="2" t="s">
        <v>602</v>
      </c>
    </row>
    <row r="246" spans="1:10" x14ac:dyDescent="0.3">
      <c r="A246" s="6" t="s">
        <v>13</v>
      </c>
      <c r="B246" t="s">
        <v>647</v>
      </c>
      <c r="C246" s="7" t="s">
        <v>4</v>
      </c>
      <c r="E246" s="3" t="s">
        <v>648</v>
      </c>
      <c r="F246" s="2" t="str">
        <f t="shared" si="3"/>
        <v>0</v>
      </c>
      <c r="G246" s="8" t="s">
        <v>369</v>
      </c>
      <c r="H246" s="2" t="s">
        <v>12</v>
      </c>
      <c r="I246" s="2" t="s">
        <v>12</v>
      </c>
      <c r="J246" s="2" t="s">
        <v>602</v>
      </c>
    </row>
    <row r="247" spans="1:10" x14ac:dyDescent="0.3">
      <c r="A247" s="6" t="s">
        <v>649</v>
      </c>
      <c r="B247" t="s">
        <v>650</v>
      </c>
      <c r="C247" s="7" t="s">
        <v>26</v>
      </c>
      <c r="D247" t="s">
        <v>654</v>
      </c>
      <c r="E247" s="3" t="s">
        <v>651</v>
      </c>
      <c r="F247" s="2" t="str">
        <f t="shared" si="3"/>
        <v>3</v>
      </c>
      <c r="G247" s="8" t="s">
        <v>369</v>
      </c>
      <c r="H247" s="2" t="s">
        <v>12</v>
      </c>
      <c r="I247" s="2" t="s">
        <v>12</v>
      </c>
      <c r="J247" s="2" t="s">
        <v>602</v>
      </c>
    </row>
    <row r="248" spans="1:10" x14ac:dyDescent="0.3">
      <c r="A248" s="6" t="s">
        <v>649</v>
      </c>
      <c r="B248" t="s">
        <v>652</v>
      </c>
      <c r="C248" s="7" t="s">
        <v>26</v>
      </c>
      <c r="D248" t="s">
        <v>654</v>
      </c>
      <c r="E248" s="3" t="s">
        <v>653</v>
      </c>
      <c r="F248" s="2" t="str">
        <f t="shared" si="3"/>
        <v>6</v>
      </c>
      <c r="G248" s="8" t="s">
        <v>369</v>
      </c>
      <c r="H248" s="2" t="s">
        <v>12</v>
      </c>
      <c r="I248" s="2" t="s">
        <v>12</v>
      </c>
      <c r="J248" s="2" t="s">
        <v>602</v>
      </c>
    </row>
    <row r="249" spans="1:10" x14ac:dyDescent="0.3">
      <c r="A249" s="6" t="s">
        <v>655</v>
      </c>
      <c r="B249" t="s">
        <v>656</v>
      </c>
      <c r="C249" s="7" t="s">
        <v>26</v>
      </c>
      <c r="D249" t="s">
        <v>654</v>
      </c>
      <c r="E249" s="3" t="s">
        <v>657</v>
      </c>
      <c r="F249" s="2" t="str">
        <f t="shared" si="3"/>
        <v>3</v>
      </c>
      <c r="G249" s="8" t="s">
        <v>369</v>
      </c>
      <c r="H249" s="2" t="s">
        <v>12</v>
      </c>
      <c r="I249" s="2" t="s">
        <v>12</v>
      </c>
      <c r="J249" s="2" t="s">
        <v>602</v>
      </c>
    </row>
    <row r="250" spans="1:10" x14ac:dyDescent="0.3">
      <c r="A250" s="6" t="s">
        <v>658</v>
      </c>
      <c r="B250" t="s">
        <v>659</v>
      </c>
      <c r="C250" s="7" t="s">
        <v>26</v>
      </c>
      <c r="D250" t="s">
        <v>654</v>
      </c>
      <c r="E250" s="3" t="s">
        <v>660</v>
      </c>
      <c r="F250" s="2" t="str">
        <f t="shared" si="3"/>
        <v>9</v>
      </c>
      <c r="G250" s="8" t="s">
        <v>369</v>
      </c>
      <c r="H250" s="2" t="s">
        <v>12</v>
      </c>
      <c r="I250" s="2" t="s">
        <v>12</v>
      </c>
      <c r="J250" s="2" t="s">
        <v>602</v>
      </c>
    </row>
    <row r="251" spans="1:10" x14ac:dyDescent="0.3">
      <c r="A251" s="6" t="s">
        <v>658</v>
      </c>
      <c r="B251" t="s">
        <v>661</v>
      </c>
      <c r="C251" s="7" t="s">
        <v>26</v>
      </c>
      <c r="D251" t="s">
        <v>654</v>
      </c>
      <c r="E251" s="3" t="s">
        <v>662</v>
      </c>
      <c r="F251" s="2" t="str">
        <f t="shared" si="3"/>
        <v>2</v>
      </c>
      <c r="G251" s="8" t="s">
        <v>369</v>
      </c>
      <c r="H251" s="2" t="s">
        <v>12</v>
      </c>
      <c r="I251" s="2" t="s">
        <v>12</v>
      </c>
      <c r="J251" s="2" t="s">
        <v>602</v>
      </c>
    </row>
    <row r="252" spans="1:10" x14ac:dyDescent="0.3">
      <c r="A252" s="6" t="s">
        <v>658</v>
      </c>
      <c r="B252" t="s">
        <v>663</v>
      </c>
      <c r="C252" s="7" t="s">
        <v>26</v>
      </c>
      <c r="D252" t="s">
        <v>654</v>
      </c>
      <c r="E252" s="3" t="s">
        <v>664</v>
      </c>
      <c r="F252" s="2" t="str">
        <f t="shared" si="3"/>
        <v>4</v>
      </c>
      <c r="G252" s="8" t="s">
        <v>369</v>
      </c>
      <c r="H252" s="2" t="s">
        <v>12</v>
      </c>
      <c r="I252" s="2" t="s">
        <v>12</v>
      </c>
      <c r="J252" s="2" t="s">
        <v>602</v>
      </c>
    </row>
    <row r="253" spans="1:10" x14ac:dyDescent="0.3">
      <c r="A253" s="6" t="s">
        <v>665</v>
      </c>
      <c r="B253" t="s">
        <v>666</v>
      </c>
      <c r="C253" s="7" t="s">
        <v>26</v>
      </c>
      <c r="D253" t="s">
        <v>654</v>
      </c>
      <c r="E253" s="3" t="s">
        <v>667</v>
      </c>
      <c r="F253" s="2" t="str">
        <f t="shared" si="3"/>
        <v>1</v>
      </c>
      <c r="G253" s="8" t="s">
        <v>369</v>
      </c>
      <c r="H253" s="2" t="s">
        <v>12</v>
      </c>
      <c r="I253" s="2" t="s">
        <v>12</v>
      </c>
      <c r="J253" s="2" t="s">
        <v>602</v>
      </c>
    </row>
    <row r="254" spans="1:10" x14ac:dyDescent="0.3">
      <c r="A254" s="6" t="s">
        <v>665</v>
      </c>
      <c r="B254" t="s">
        <v>668</v>
      </c>
      <c r="C254" s="7" t="s">
        <v>26</v>
      </c>
      <c r="D254" t="s">
        <v>654</v>
      </c>
      <c r="E254" s="3" t="s">
        <v>669</v>
      </c>
      <c r="F254" s="2" t="str">
        <f t="shared" si="3"/>
        <v>6</v>
      </c>
      <c r="G254" s="8" t="s">
        <v>369</v>
      </c>
      <c r="H254" s="2" t="s">
        <v>12</v>
      </c>
      <c r="I254" s="2" t="s">
        <v>12</v>
      </c>
      <c r="J254" s="2" t="s">
        <v>602</v>
      </c>
    </row>
    <row r="255" spans="1:10" x14ac:dyDescent="0.3">
      <c r="A255" s="6" t="s">
        <v>665</v>
      </c>
      <c r="B255" t="s">
        <v>670</v>
      </c>
      <c r="C255" s="7" t="s">
        <v>26</v>
      </c>
      <c r="D255" t="s">
        <v>654</v>
      </c>
      <c r="E255" s="3" t="s">
        <v>671</v>
      </c>
      <c r="F255" s="2" t="str">
        <f t="shared" si="3"/>
        <v>3</v>
      </c>
      <c r="G255" s="8" t="s">
        <v>369</v>
      </c>
      <c r="H255" s="2" t="s">
        <v>12</v>
      </c>
      <c r="I255" s="2" t="s">
        <v>12</v>
      </c>
      <c r="J255" s="2" t="s">
        <v>602</v>
      </c>
    </row>
    <row r="256" spans="1:10" x14ac:dyDescent="0.3">
      <c r="A256" s="6" t="s">
        <v>672</v>
      </c>
      <c r="B256" t="s">
        <v>673</v>
      </c>
      <c r="C256" s="7" t="s">
        <v>26</v>
      </c>
      <c r="D256" t="s">
        <v>654</v>
      </c>
      <c r="E256" s="3" t="s">
        <v>674</v>
      </c>
      <c r="F256" s="2" t="str">
        <f t="shared" si="3"/>
        <v>5</v>
      </c>
      <c r="G256" s="8" t="s">
        <v>369</v>
      </c>
      <c r="H256" s="2" t="s">
        <v>12</v>
      </c>
      <c r="I256" s="2" t="s">
        <v>12</v>
      </c>
      <c r="J256" s="2" t="s">
        <v>602</v>
      </c>
    </row>
    <row r="257" spans="1:10" x14ac:dyDescent="0.3">
      <c r="A257" s="6" t="s">
        <v>672</v>
      </c>
      <c r="B257" t="s">
        <v>675</v>
      </c>
      <c r="C257" s="7" t="s">
        <v>26</v>
      </c>
      <c r="D257" t="s">
        <v>654</v>
      </c>
      <c r="E257" s="3" t="s">
        <v>676</v>
      </c>
      <c r="F257" s="2" t="str">
        <f t="shared" si="3"/>
        <v>5</v>
      </c>
      <c r="G257" s="8" t="s">
        <v>369</v>
      </c>
      <c r="H257" s="2" t="s">
        <v>12</v>
      </c>
      <c r="I257" s="2" t="s">
        <v>12</v>
      </c>
      <c r="J257" s="2" t="s">
        <v>602</v>
      </c>
    </row>
    <row r="258" spans="1:10" x14ac:dyDescent="0.3">
      <c r="A258" s="6" t="s">
        <v>672</v>
      </c>
      <c r="B258" t="s">
        <v>677</v>
      </c>
      <c r="C258" s="7" t="s">
        <v>26</v>
      </c>
      <c r="D258" t="s">
        <v>654</v>
      </c>
      <c r="E258" s="3" t="s">
        <v>678</v>
      </c>
      <c r="F258" s="2" t="str">
        <f t="shared" si="3"/>
        <v>5</v>
      </c>
      <c r="G258" s="8" t="s">
        <v>369</v>
      </c>
      <c r="H258" s="2" t="s">
        <v>12</v>
      </c>
      <c r="I258" s="2" t="s">
        <v>12</v>
      </c>
      <c r="J258" s="2" t="s">
        <v>602</v>
      </c>
    </row>
    <row r="259" spans="1:10" x14ac:dyDescent="0.3">
      <c r="A259" s="6" t="s">
        <v>672</v>
      </c>
      <c r="B259" t="s">
        <v>679</v>
      </c>
      <c r="C259" s="7" t="s">
        <v>26</v>
      </c>
      <c r="D259" t="s">
        <v>654</v>
      </c>
      <c r="E259" s="3" t="s">
        <v>680</v>
      </c>
      <c r="F259" s="2" t="str">
        <f t="shared" ref="F259:F288" si="4">RIGHT(SUBSTITUTE(SUBSTITUTE(TRIM(E259)," ",""),"-",""),1)</f>
        <v>1</v>
      </c>
      <c r="G259" s="8" t="s">
        <v>369</v>
      </c>
      <c r="H259" s="2" t="s">
        <v>12</v>
      </c>
      <c r="I259" s="2" t="s">
        <v>12</v>
      </c>
      <c r="J259" s="2" t="s">
        <v>602</v>
      </c>
    </row>
    <row r="260" spans="1:10" x14ac:dyDescent="0.3">
      <c r="A260" s="6" t="s">
        <v>672</v>
      </c>
      <c r="B260" t="s">
        <v>681</v>
      </c>
      <c r="C260" s="7" t="s">
        <v>26</v>
      </c>
      <c r="D260" t="s">
        <v>654</v>
      </c>
      <c r="E260" s="3" t="s">
        <v>682</v>
      </c>
      <c r="F260" s="2" t="str">
        <f t="shared" si="4"/>
        <v>4</v>
      </c>
      <c r="G260" s="8" t="s">
        <v>369</v>
      </c>
      <c r="H260" s="2" t="s">
        <v>12</v>
      </c>
      <c r="I260" s="2" t="s">
        <v>12</v>
      </c>
      <c r="J260" s="2" t="s">
        <v>602</v>
      </c>
    </row>
    <row r="261" spans="1:10" x14ac:dyDescent="0.3">
      <c r="A261" s="6" t="s">
        <v>13</v>
      </c>
      <c r="B261" t="s">
        <v>683</v>
      </c>
      <c r="C261" s="7" t="s">
        <v>4</v>
      </c>
      <c r="E261" s="3" t="s">
        <v>684</v>
      </c>
      <c r="F261" s="2" t="str">
        <f t="shared" si="4"/>
        <v>2</v>
      </c>
      <c r="G261" s="8" t="s">
        <v>369</v>
      </c>
      <c r="H261" s="2" t="s">
        <v>12</v>
      </c>
      <c r="I261" s="2" t="s">
        <v>12</v>
      </c>
      <c r="J261" s="2" t="s">
        <v>602</v>
      </c>
    </row>
    <row r="262" spans="1:10" x14ac:dyDescent="0.3">
      <c r="A262" s="6" t="s">
        <v>92</v>
      </c>
      <c r="B262" t="s">
        <v>686</v>
      </c>
      <c r="C262" s="7" t="s">
        <v>4</v>
      </c>
      <c r="E262" s="3" t="s">
        <v>698</v>
      </c>
      <c r="F262" s="2" t="str">
        <f t="shared" si="4"/>
        <v>6</v>
      </c>
      <c r="G262" s="8" t="s">
        <v>369</v>
      </c>
      <c r="H262" s="2" t="s">
        <v>12</v>
      </c>
      <c r="I262" s="2" t="s">
        <v>12</v>
      </c>
      <c r="J262" s="2" t="s">
        <v>602</v>
      </c>
    </row>
    <row r="263" spans="1:10" x14ac:dyDescent="0.3">
      <c r="A263" s="6" t="s">
        <v>58</v>
      </c>
      <c r="B263" t="s">
        <v>687</v>
      </c>
      <c r="C263" s="7" t="s">
        <v>4</v>
      </c>
      <c r="E263" s="3" t="s">
        <v>688</v>
      </c>
      <c r="F263" s="2" t="str">
        <f t="shared" si="4"/>
        <v>2</v>
      </c>
      <c r="G263" s="8" t="s">
        <v>369</v>
      </c>
      <c r="H263" s="2" t="s">
        <v>12</v>
      </c>
      <c r="I263" s="2" t="s">
        <v>12</v>
      </c>
      <c r="J263" s="2" t="s">
        <v>602</v>
      </c>
    </row>
    <row r="264" spans="1:10" x14ac:dyDescent="0.3">
      <c r="A264" s="6" t="s">
        <v>632</v>
      </c>
      <c r="B264" t="s">
        <v>693</v>
      </c>
      <c r="C264" s="7" t="s">
        <v>4</v>
      </c>
      <c r="E264" s="3" t="s">
        <v>694</v>
      </c>
      <c r="F264" s="2" t="str">
        <f t="shared" si="4"/>
        <v>9</v>
      </c>
      <c r="G264" s="8" t="s">
        <v>369</v>
      </c>
      <c r="H264" s="2" t="s">
        <v>12</v>
      </c>
      <c r="I264" s="2" t="s">
        <v>12</v>
      </c>
      <c r="J264" s="2" t="s">
        <v>602</v>
      </c>
    </row>
    <row r="265" spans="1:10" x14ac:dyDescent="0.3">
      <c r="A265" s="6" t="s">
        <v>187</v>
      </c>
      <c r="B265" t="s">
        <v>6</v>
      </c>
      <c r="C265" s="7" t="s">
        <v>26</v>
      </c>
      <c r="D265" t="s">
        <v>696</v>
      </c>
      <c r="E265" s="3" t="s">
        <v>697</v>
      </c>
      <c r="F265" s="2" t="str">
        <f t="shared" si="4"/>
        <v>7</v>
      </c>
      <c r="G265" s="8" t="s">
        <v>369</v>
      </c>
      <c r="H265" s="2" t="s">
        <v>12</v>
      </c>
      <c r="I265" s="2" t="s">
        <v>12</v>
      </c>
      <c r="J265" s="2" t="s">
        <v>602</v>
      </c>
    </row>
    <row r="266" spans="1:10" x14ac:dyDescent="0.3">
      <c r="A266" s="6" t="s">
        <v>702</v>
      </c>
      <c r="B266" t="s">
        <v>153</v>
      </c>
      <c r="C266" s="7" t="s">
        <v>26</v>
      </c>
      <c r="D266" t="s">
        <v>700</v>
      </c>
      <c r="E266" s="3" t="s">
        <v>701</v>
      </c>
      <c r="F266" s="2" t="str">
        <f t="shared" si="4"/>
        <v>4</v>
      </c>
      <c r="G266" s="8" t="s">
        <v>369</v>
      </c>
      <c r="H266" s="2" t="s">
        <v>12</v>
      </c>
      <c r="I266" s="2" t="s">
        <v>12</v>
      </c>
      <c r="J266" s="2" t="s">
        <v>602</v>
      </c>
    </row>
    <row r="267" spans="1:10" x14ac:dyDescent="0.3">
      <c r="A267" s="6" t="s">
        <v>702</v>
      </c>
      <c r="B267" t="s">
        <v>153</v>
      </c>
      <c r="C267" s="7" t="s">
        <v>26</v>
      </c>
      <c r="D267" t="s">
        <v>700</v>
      </c>
      <c r="E267" s="3" t="s">
        <v>705</v>
      </c>
      <c r="F267" s="2" t="str">
        <f t="shared" si="4"/>
        <v>6</v>
      </c>
      <c r="G267" s="8" t="s">
        <v>369</v>
      </c>
      <c r="H267" s="2" t="s">
        <v>12</v>
      </c>
      <c r="I267" s="2" t="s">
        <v>12</v>
      </c>
      <c r="J267" s="2" t="s">
        <v>602</v>
      </c>
    </row>
    <row r="268" spans="1:10" x14ac:dyDescent="0.3">
      <c r="A268" s="6" t="s">
        <v>703</v>
      </c>
      <c r="B268" t="s">
        <v>153</v>
      </c>
      <c r="C268" s="7" t="s">
        <v>26</v>
      </c>
      <c r="D268" t="s">
        <v>700</v>
      </c>
      <c r="E268" s="3" t="s">
        <v>706</v>
      </c>
      <c r="F268" s="2" t="str">
        <f t="shared" si="4"/>
        <v>2</v>
      </c>
      <c r="G268" s="8" t="s">
        <v>369</v>
      </c>
      <c r="H268" s="2" t="s">
        <v>12</v>
      </c>
      <c r="I268" s="2" t="s">
        <v>12</v>
      </c>
      <c r="J268" s="2" t="s">
        <v>602</v>
      </c>
    </row>
    <row r="269" spans="1:10" x14ac:dyDescent="0.3">
      <c r="A269" s="6" t="s">
        <v>704</v>
      </c>
      <c r="B269" t="s">
        <v>153</v>
      </c>
      <c r="C269" s="7" t="s">
        <v>26</v>
      </c>
      <c r="D269" t="s">
        <v>700</v>
      </c>
      <c r="E269" s="3" t="s">
        <v>707</v>
      </c>
      <c r="F269" s="2" t="str">
        <f t="shared" si="4"/>
        <v>5</v>
      </c>
      <c r="G269" s="8" t="s">
        <v>369</v>
      </c>
      <c r="H269" s="2" t="s">
        <v>12</v>
      </c>
      <c r="I269" s="2" t="s">
        <v>12</v>
      </c>
      <c r="J269" s="2" t="s">
        <v>602</v>
      </c>
    </row>
    <row r="270" spans="1:10" x14ac:dyDescent="0.3">
      <c r="A270" s="6" t="s">
        <v>740</v>
      </c>
      <c r="B270" t="s">
        <v>153</v>
      </c>
      <c r="C270" s="7" t="s">
        <v>26</v>
      </c>
      <c r="D270" t="s">
        <v>700</v>
      </c>
      <c r="E270" s="3" t="s">
        <v>743</v>
      </c>
      <c r="F270" s="2" t="str">
        <f t="shared" si="4"/>
        <v>0</v>
      </c>
      <c r="G270" s="8" t="s">
        <v>369</v>
      </c>
      <c r="H270" s="2" t="s">
        <v>12</v>
      </c>
      <c r="I270" s="2" t="s">
        <v>12</v>
      </c>
      <c r="J270" s="2" t="s">
        <v>602</v>
      </c>
    </row>
    <row r="271" spans="1:10" x14ac:dyDescent="0.3">
      <c r="A271" s="6" t="s">
        <v>713</v>
      </c>
      <c r="B271" t="s">
        <v>714</v>
      </c>
      <c r="C271" s="7" t="s">
        <v>26</v>
      </c>
      <c r="D271" t="s">
        <v>727</v>
      </c>
      <c r="E271" s="3" t="s">
        <v>728</v>
      </c>
      <c r="F271" s="2" t="str">
        <f t="shared" si="4"/>
        <v>8</v>
      </c>
      <c r="G271" s="8" t="s">
        <v>369</v>
      </c>
      <c r="H271" s="2" t="s">
        <v>12</v>
      </c>
      <c r="I271" s="2" t="s">
        <v>12</v>
      </c>
      <c r="J271" s="2" t="s">
        <v>602</v>
      </c>
    </row>
    <row r="272" spans="1:10" x14ac:dyDescent="0.3">
      <c r="A272" s="6" t="s">
        <v>713</v>
      </c>
      <c r="B272" t="s">
        <v>715</v>
      </c>
      <c r="C272" s="7" t="s">
        <v>26</v>
      </c>
      <c r="D272" t="s">
        <v>727</v>
      </c>
      <c r="E272" s="3" t="s">
        <v>729</v>
      </c>
      <c r="F272" s="2" t="str">
        <f t="shared" si="4"/>
        <v>3</v>
      </c>
      <c r="G272" s="8" t="s">
        <v>369</v>
      </c>
      <c r="H272" s="2" t="s">
        <v>12</v>
      </c>
      <c r="I272" s="2" t="s">
        <v>12</v>
      </c>
      <c r="J272" s="2" t="s">
        <v>602</v>
      </c>
    </row>
    <row r="273" spans="1:10" x14ac:dyDescent="0.3">
      <c r="A273" s="6" t="s">
        <v>713</v>
      </c>
      <c r="B273" t="s">
        <v>716</v>
      </c>
      <c r="C273" s="7" t="s">
        <v>26</v>
      </c>
      <c r="D273" t="s">
        <v>727</v>
      </c>
      <c r="E273" s="3" t="s">
        <v>730</v>
      </c>
      <c r="F273" s="2" t="str">
        <f t="shared" si="4"/>
        <v>3</v>
      </c>
      <c r="G273" s="8" t="s">
        <v>369</v>
      </c>
      <c r="H273" s="2" t="s">
        <v>12</v>
      </c>
      <c r="I273" s="2" t="s">
        <v>12</v>
      </c>
      <c r="J273" s="2" t="s">
        <v>602</v>
      </c>
    </row>
    <row r="274" spans="1:10" x14ac:dyDescent="0.3">
      <c r="A274" s="6" t="s">
        <v>713</v>
      </c>
      <c r="B274" t="s">
        <v>717</v>
      </c>
      <c r="C274" s="7" t="s">
        <v>26</v>
      </c>
      <c r="D274" t="s">
        <v>727</v>
      </c>
      <c r="E274" s="3" t="s">
        <v>731</v>
      </c>
      <c r="F274" s="2" t="str">
        <f t="shared" si="4"/>
        <v>7</v>
      </c>
      <c r="G274" s="8" t="s">
        <v>369</v>
      </c>
      <c r="H274" s="2" t="s">
        <v>12</v>
      </c>
      <c r="I274" s="2" t="s">
        <v>12</v>
      </c>
      <c r="J274" s="2" t="s">
        <v>602</v>
      </c>
    </row>
    <row r="275" spans="1:10" x14ac:dyDescent="0.3">
      <c r="A275" s="6" t="s">
        <v>713</v>
      </c>
      <c r="B275" t="s">
        <v>718</v>
      </c>
      <c r="C275" s="7" t="s">
        <v>26</v>
      </c>
      <c r="D275" t="s">
        <v>727</v>
      </c>
      <c r="E275" s="3" t="s">
        <v>732</v>
      </c>
      <c r="F275" s="2" t="str">
        <f t="shared" si="4"/>
        <v>8</v>
      </c>
      <c r="G275" s="8" t="s">
        <v>369</v>
      </c>
      <c r="H275" s="2" t="s">
        <v>12</v>
      </c>
      <c r="I275" s="2" t="s">
        <v>12</v>
      </c>
      <c r="J275" s="2" t="s">
        <v>602</v>
      </c>
    </row>
    <row r="276" spans="1:10" x14ac:dyDescent="0.3">
      <c r="A276" s="6" t="s">
        <v>713</v>
      </c>
      <c r="B276" t="s">
        <v>719</v>
      </c>
      <c r="C276" s="7" t="s">
        <v>26</v>
      </c>
      <c r="D276" t="s">
        <v>727</v>
      </c>
      <c r="E276" s="3" t="s">
        <v>733</v>
      </c>
      <c r="F276" s="2" t="str">
        <f t="shared" si="4"/>
        <v>3</v>
      </c>
      <c r="G276" s="8" t="s">
        <v>369</v>
      </c>
      <c r="H276" s="2" t="s">
        <v>12</v>
      </c>
      <c r="I276" s="2" t="s">
        <v>12</v>
      </c>
      <c r="J276" s="2" t="s">
        <v>602</v>
      </c>
    </row>
    <row r="277" spans="1:10" x14ac:dyDescent="0.3">
      <c r="A277" s="6" t="s">
        <v>713</v>
      </c>
      <c r="B277" t="s">
        <v>720</v>
      </c>
      <c r="C277" s="7" t="s">
        <v>26</v>
      </c>
      <c r="D277" t="s">
        <v>727</v>
      </c>
      <c r="E277" s="3" t="s">
        <v>734</v>
      </c>
      <c r="F277" s="2" t="str">
        <f t="shared" si="4"/>
        <v>0</v>
      </c>
      <c r="G277" s="8" t="s">
        <v>369</v>
      </c>
      <c r="H277" s="2" t="s">
        <v>12</v>
      </c>
      <c r="I277" s="2" t="s">
        <v>12</v>
      </c>
      <c r="J277" s="2" t="s">
        <v>602</v>
      </c>
    </row>
    <row r="278" spans="1:10" x14ac:dyDescent="0.3">
      <c r="A278" s="6" t="s">
        <v>713</v>
      </c>
      <c r="B278" t="s">
        <v>721</v>
      </c>
      <c r="C278" s="7" t="s">
        <v>26</v>
      </c>
      <c r="D278" t="s">
        <v>727</v>
      </c>
      <c r="E278" s="3" t="s">
        <v>735</v>
      </c>
      <c r="F278" s="2" t="str">
        <f t="shared" si="4"/>
        <v>0</v>
      </c>
      <c r="G278" s="8" t="s">
        <v>369</v>
      </c>
      <c r="H278" s="2" t="s">
        <v>12</v>
      </c>
      <c r="I278" s="2" t="s">
        <v>12</v>
      </c>
      <c r="J278" s="2" t="s">
        <v>602</v>
      </c>
    </row>
    <row r="279" spans="1:10" x14ac:dyDescent="0.3">
      <c r="A279" s="6" t="s">
        <v>713</v>
      </c>
      <c r="B279" t="s">
        <v>722</v>
      </c>
      <c r="C279" s="7" t="s">
        <v>26</v>
      </c>
      <c r="D279" t="s">
        <v>727</v>
      </c>
      <c r="E279" s="3" t="s">
        <v>736</v>
      </c>
      <c r="F279" s="2" t="str">
        <f t="shared" si="4"/>
        <v>1</v>
      </c>
      <c r="G279" s="8" t="s">
        <v>369</v>
      </c>
      <c r="H279" s="2" t="s">
        <v>12</v>
      </c>
      <c r="I279" s="2" t="s">
        <v>12</v>
      </c>
      <c r="J279" s="2" t="s">
        <v>602</v>
      </c>
    </row>
    <row r="280" spans="1:10" x14ac:dyDescent="0.3">
      <c r="A280" s="6" t="s">
        <v>713</v>
      </c>
      <c r="B280" t="s">
        <v>723</v>
      </c>
      <c r="C280" s="7" t="s">
        <v>26</v>
      </c>
      <c r="D280" t="s">
        <v>727</v>
      </c>
      <c r="E280" s="3" t="s">
        <v>737</v>
      </c>
      <c r="F280" s="2" t="str">
        <f t="shared" si="4"/>
        <v>7</v>
      </c>
      <c r="G280" s="8" t="s">
        <v>369</v>
      </c>
      <c r="H280" s="2" t="s">
        <v>12</v>
      </c>
      <c r="I280" s="2" t="s">
        <v>12</v>
      </c>
      <c r="J280" s="2" t="s">
        <v>602</v>
      </c>
    </row>
    <row r="281" spans="1:10" x14ac:dyDescent="0.3">
      <c r="A281" s="6" t="s">
        <v>713</v>
      </c>
      <c r="B281" t="s">
        <v>724</v>
      </c>
      <c r="C281" s="7" t="s">
        <v>26</v>
      </c>
      <c r="D281" t="s">
        <v>727</v>
      </c>
      <c r="E281" s="3" t="s">
        <v>738</v>
      </c>
      <c r="F281" s="2" t="str">
        <f t="shared" si="4"/>
        <v>9</v>
      </c>
      <c r="G281" s="8" t="s">
        <v>369</v>
      </c>
      <c r="H281" s="2" t="s">
        <v>12</v>
      </c>
      <c r="I281" s="2" t="s">
        <v>12</v>
      </c>
      <c r="J281" s="2" t="s">
        <v>602</v>
      </c>
    </row>
    <row r="282" spans="1:10" x14ac:dyDescent="0.3">
      <c r="A282" s="6" t="s">
        <v>713</v>
      </c>
      <c r="B282" t="s">
        <v>725</v>
      </c>
      <c r="C282" s="7" t="s">
        <v>26</v>
      </c>
      <c r="D282" t="s">
        <v>727</v>
      </c>
      <c r="E282" s="3" t="s">
        <v>739</v>
      </c>
      <c r="F282" s="2" t="str">
        <f t="shared" si="4"/>
        <v>1</v>
      </c>
      <c r="G282" s="8" t="s">
        <v>369</v>
      </c>
      <c r="H282" s="2" t="s">
        <v>12</v>
      </c>
      <c r="I282" s="2" t="s">
        <v>12</v>
      </c>
      <c r="J282" s="2" t="s">
        <v>602</v>
      </c>
    </row>
    <row r="283" spans="1:10" x14ac:dyDescent="0.3">
      <c r="A283" s="6" t="s">
        <v>68</v>
      </c>
      <c r="B283" t="s">
        <v>581</v>
      </c>
      <c r="C283" s="7" t="s">
        <v>26</v>
      </c>
      <c r="D283" t="s">
        <v>583</v>
      </c>
      <c r="E283" s="3" t="s">
        <v>584</v>
      </c>
      <c r="F283" s="2" t="str">
        <f t="shared" si="4"/>
        <v>8</v>
      </c>
      <c r="G283" s="5" t="s">
        <v>591</v>
      </c>
      <c r="H283" s="2" t="s">
        <v>12</v>
      </c>
      <c r="I283" s="2" t="s">
        <v>12</v>
      </c>
      <c r="J283" s="2" t="s">
        <v>602</v>
      </c>
    </row>
    <row r="284" spans="1:10" x14ac:dyDescent="0.3">
      <c r="A284" s="6" t="s">
        <v>68</v>
      </c>
      <c r="B284" t="s">
        <v>585</v>
      </c>
      <c r="C284" s="7" t="s">
        <v>26</v>
      </c>
      <c r="D284" t="s">
        <v>583</v>
      </c>
      <c r="E284" s="3" t="s">
        <v>588</v>
      </c>
      <c r="F284" s="2" t="str">
        <f t="shared" si="4"/>
        <v>0</v>
      </c>
      <c r="G284" s="5" t="s">
        <v>591</v>
      </c>
      <c r="H284" s="2" t="s">
        <v>12</v>
      </c>
      <c r="I284" s="2" t="s">
        <v>12</v>
      </c>
      <c r="J284" s="2" t="s">
        <v>602</v>
      </c>
    </row>
    <row r="285" spans="1:10" x14ac:dyDescent="0.3">
      <c r="A285" s="6" t="s">
        <v>68</v>
      </c>
      <c r="B285" t="s">
        <v>586</v>
      </c>
      <c r="C285" s="7" t="s">
        <v>26</v>
      </c>
      <c r="D285" t="s">
        <v>583</v>
      </c>
      <c r="E285" s="3" t="s">
        <v>589</v>
      </c>
      <c r="F285" s="2" t="str">
        <f t="shared" si="4"/>
        <v>2</v>
      </c>
      <c r="G285" s="5" t="s">
        <v>591</v>
      </c>
      <c r="H285" s="2" t="s">
        <v>12</v>
      </c>
      <c r="I285" s="2" t="s">
        <v>12</v>
      </c>
      <c r="J285" s="2" t="s">
        <v>602</v>
      </c>
    </row>
    <row r="286" spans="1:10" x14ac:dyDescent="0.3">
      <c r="A286" s="6" t="s">
        <v>68</v>
      </c>
      <c r="B286" t="s">
        <v>449</v>
      </c>
      <c r="C286" s="7" t="s">
        <v>26</v>
      </c>
      <c r="D286" t="s">
        <v>583</v>
      </c>
      <c r="E286" s="3" t="s">
        <v>590</v>
      </c>
      <c r="F286" s="2" t="str">
        <f t="shared" si="4"/>
        <v>1</v>
      </c>
      <c r="G286" s="5" t="s">
        <v>591</v>
      </c>
      <c r="H286" s="2" t="s">
        <v>12</v>
      </c>
      <c r="I286" s="2" t="s">
        <v>12</v>
      </c>
      <c r="J286" s="2" t="s">
        <v>602</v>
      </c>
    </row>
    <row r="287" spans="1:10" x14ac:dyDescent="0.3">
      <c r="A287" s="6" t="s">
        <v>8</v>
      </c>
      <c r="B287" t="s">
        <v>690</v>
      </c>
      <c r="C287" s="7" t="s">
        <v>26</v>
      </c>
      <c r="D287" t="s">
        <v>744</v>
      </c>
      <c r="E287" s="3" t="s">
        <v>692</v>
      </c>
      <c r="F287" s="2" t="str">
        <f t="shared" si="4"/>
        <v>9</v>
      </c>
      <c r="G287" s="5" t="s">
        <v>691</v>
      </c>
      <c r="H287" s="2" t="s">
        <v>12</v>
      </c>
      <c r="I287" s="2" t="s">
        <v>12</v>
      </c>
      <c r="J287" s="2" t="s">
        <v>602</v>
      </c>
    </row>
    <row r="288" spans="1:10" x14ac:dyDescent="0.3">
      <c r="A288" s="6" t="s">
        <v>709</v>
      </c>
      <c r="B288" t="s">
        <v>710</v>
      </c>
      <c r="C288" s="7" t="s">
        <v>26</v>
      </c>
      <c r="D288" t="s">
        <v>711</v>
      </c>
      <c r="E288" s="3" t="s">
        <v>712</v>
      </c>
      <c r="F288" s="2" t="str">
        <f t="shared" si="4"/>
        <v>3</v>
      </c>
      <c r="G288" s="5" t="s">
        <v>708</v>
      </c>
      <c r="H288" s="2" t="s">
        <v>12</v>
      </c>
      <c r="I288" s="2" t="s">
        <v>12</v>
      </c>
      <c r="J288" s="2" t="s">
        <v>602</v>
      </c>
    </row>
  </sheetData>
  <sortState ref="A3:J211">
    <sortCondition ref="C2"/>
  </sortState>
  <phoneticPr fontId="1" type="noConversion"/>
  <conditionalFormatting sqref="B289:B1048576">
    <cfRule type="duplicateValues" dxfId="65" priority="95"/>
  </conditionalFormatting>
  <conditionalFormatting sqref="B289:B1048576">
    <cfRule type="duplicateValues" dxfId="64" priority="89"/>
  </conditionalFormatting>
  <conditionalFormatting sqref="B120:B129 B136:B143">
    <cfRule type="duplicateValues" dxfId="63" priority="41"/>
  </conditionalFormatting>
  <conditionalFormatting sqref="B120:B134">
    <cfRule type="duplicateValues" dxfId="62" priority="39"/>
  </conditionalFormatting>
  <conditionalFormatting sqref="B163">
    <cfRule type="duplicateValues" dxfId="61" priority="36"/>
  </conditionalFormatting>
  <conditionalFormatting sqref="B191">
    <cfRule type="duplicateValues" dxfId="60" priority="19"/>
  </conditionalFormatting>
  <conditionalFormatting sqref="E191">
    <cfRule type="duplicateValues" dxfId="59" priority="16"/>
    <cfRule type="duplicateValues" dxfId="58" priority="17"/>
  </conditionalFormatting>
  <conditionalFormatting sqref="E2:E119">
    <cfRule type="expression" dxfId="57" priority="47">
      <formula>COUNTIF(#REF!, E2) &gt; 0</formula>
    </cfRule>
  </conditionalFormatting>
  <conditionalFormatting sqref="B131:B134">
    <cfRule type="duplicateValues" dxfId="56" priority="46"/>
  </conditionalFormatting>
  <conditionalFormatting sqref="B130">
    <cfRule type="duplicateValues" dxfId="55" priority="45"/>
  </conditionalFormatting>
  <conditionalFormatting sqref="B136:B143">
    <cfRule type="duplicateValues" dxfId="54" priority="44"/>
  </conditionalFormatting>
  <conditionalFormatting sqref="B135">
    <cfRule type="duplicateValues" dxfId="53" priority="43"/>
  </conditionalFormatting>
  <conditionalFormatting sqref="B135">
    <cfRule type="duplicateValues" dxfId="52" priority="42"/>
  </conditionalFormatting>
  <conditionalFormatting sqref="E148:E154">
    <cfRule type="duplicateValues" dxfId="51" priority="96"/>
  </conditionalFormatting>
  <conditionalFormatting sqref="B148">
    <cfRule type="duplicateValues" dxfId="50" priority="38"/>
  </conditionalFormatting>
  <conditionalFormatting sqref="E148:E154">
    <cfRule type="expression" dxfId="49" priority="40">
      <formula>COUNTIF(#REF!, E148) &gt; 0</formula>
    </cfRule>
  </conditionalFormatting>
  <conditionalFormatting sqref="B144:B147">
    <cfRule type="duplicateValues" dxfId="48" priority="97"/>
  </conditionalFormatting>
  <conditionalFormatting sqref="B153:B167 B2:B148 B169:B170 B172:B185 B187:B188 B192:B193 B195:B207 B209:B215 B217:B241 B243:B288">
    <cfRule type="duplicateValues" dxfId="47" priority="37"/>
  </conditionalFormatting>
  <conditionalFormatting sqref="B149:B152">
    <cfRule type="duplicateValues" dxfId="46" priority="34"/>
  </conditionalFormatting>
  <conditionalFormatting sqref="B149:B152">
    <cfRule type="duplicateValues" dxfId="45" priority="35"/>
  </conditionalFormatting>
  <conditionalFormatting sqref="B149:B152">
    <cfRule type="duplicateValues" dxfId="44" priority="98"/>
  </conditionalFormatting>
  <conditionalFormatting sqref="B168">
    <cfRule type="duplicateValues" dxfId="43" priority="33"/>
  </conditionalFormatting>
  <conditionalFormatting sqref="B168">
    <cfRule type="duplicateValues" dxfId="42" priority="32"/>
  </conditionalFormatting>
  <conditionalFormatting sqref="B172:B185 B2:B170 B187:B188 B192:B193 B195:B207 B209:B215 B217:B241 B243:B288">
    <cfRule type="duplicateValues" dxfId="41" priority="31"/>
  </conditionalFormatting>
  <conditionalFormatting sqref="E2:E188 E192:E288">
    <cfRule type="duplicateValues" dxfId="40" priority="27"/>
    <cfRule type="duplicateValues" dxfId="39" priority="30"/>
  </conditionalFormatting>
  <conditionalFormatting sqref="B171">
    <cfRule type="duplicateValues" dxfId="38" priority="29"/>
  </conditionalFormatting>
  <conditionalFormatting sqref="B171">
    <cfRule type="duplicateValues" dxfId="37" priority="28"/>
  </conditionalFormatting>
  <conditionalFormatting sqref="E2:E119">
    <cfRule type="duplicateValues" dxfId="36" priority="48"/>
  </conditionalFormatting>
  <conditionalFormatting sqref="B2:B119">
    <cfRule type="duplicateValues" dxfId="35" priority="49"/>
  </conditionalFormatting>
  <conditionalFormatting sqref="B186">
    <cfRule type="duplicateValues" dxfId="34" priority="26"/>
  </conditionalFormatting>
  <conditionalFormatting sqref="B186">
    <cfRule type="duplicateValues" dxfId="33" priority="25"/>
  </conditionalFormatting>
  <conditionalFormatting sqref="B189">
    <cfRule type="duplicateValues" dxfId="32" priority="24"/>
  </conditionalFormatting>
  <conditionalFormatting sqref="B189">
    <cfRule type="duplicateValues" dxfId="31" priority="23"/>
  </conditionalFormatting>
  <conditionalFormatting sqref="E189">
    <cfRule type="duplicateValues" dxfId="30" priority="21"/>
    <cfRule type="duplicateValues" dxfId="29" priority="22"/>
  </conditionalFormatting>
  <conditionalFormatting sqref="B190">
    <cfRule type="duplicateValues" dxfId="28" priority="20"/>
  </conditionalFormatting>
  <conditionalFormatting sqref="B190">
    <cfRule type="duplicateValues" dxfId="27" priority="99"/>
  </conditionalFormatting>
  <conditionalFormatting sqref="E190">
    <cfRule type="duplicateValues" dxfId="26" priority="18"/>
    <cfRule type="duplicateValues" dxfId="25" priority="100"/>
  </conditionalFormatting>
  <conditionalFormatting sqref="B194">
    <cfRule type="duplicateValues" dxfId="24" priority="101"/>
  </conditionalFormatting>
  <conditionalFormatting sqref="B194">
    <cfRule type="duplicateValues" dxfId="23" priority="15"/>
  </conditionalFormatting>
  <conditionalFormatting sqref="B208">
    <cfRule type="duplicateValues" dxfId="22" priority="14"/>
  </conditionalFormatting>
  <conditionalFormatting sqref="B208">
    <cfRule type="duplicateValues" dxfId="21" priority="13"/>
  </conditionalFormatting>
  <conditionalFormatting sqref="E2:E288">
    <cfRule type="duplicateValues" dxfId="20" priority="12"/>
  </conditionalFormatting>
  <conditionalFormatting sqref="B216">
    <cfRule type="duplicateValues" dxfId="19" priority="11"/>
  </conditionalFormatting>
  <conditionalFormatting sqref="B216">
    <cfRule type="duplicateValues" dxfId="18" priority="10"/>
  </conditionalFormatting>
  <conditionalFormatting sqref="B242">
    <cfRule type="duplicateValues" dxfId="17" priority="9"/>
  </conditionalFormatting>
  <conditionalFormatting sqref="B242">
    <cfRule type="duplicateValues" dxfId="16" priority="8"/>
  </conditionalFormatting>
  <conditionalFormatting sqref="B1">
    <cfRule type="duplicateValues" dxfId="15" priority="5"/>
  </conditionalFormatting>
  <conditionalFormatting sqref="B1">
    <cfRule type="duplicateValues" dxfId="14" priority="4"/>
  </conditionalFormatting>
  <conditionalFormatting sqref="E1">
    <cfRule type="duplicateValues" dxfId="13" priority="2"/>
    <cfRule type="duplicateValues" dxfId="12" priority="3"/>
  </conditionalFormatting>
  <conditionalFormatting sqref="E1">
    <cfRule type="duplicateValues" dxfId="11" priority="6"/>
  </conditionalFormatting>
  <conditionalFormatting sqref="B1">
    <cfRule type="duplicateValues" dxfId="10" priority="7"/>
  </conditionalFormatting>
  <conditionalFormatting sqref="E1">
    <cfRule type="duplicateValues" dxfId="9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52D8E-F522-47AF-B436-677914ABCDF3}">
  <dimension ref="A3:M38"/>
  <sheetViews>
    <sheetView workbookViewId="0">
      <selection activeCell="F31" sqref="F31"/>
    </sheetView>
  </sheetViews>
  <sheetFormatPr defaultRowHeight="16.5" x14ac:dyDescent="0.3"/>
  <cols>
    <col min="1" max="1" width="32.875" bestFit="1" customWidth="1"/>
    <col min="2" max="3" width="15.25" bestFit="1" customWidth="1"/>
  </cols>
  <sheetData>
    <row r="3" spans="1:3" x14ac:dyDescent="0.3">
      <c r="A3" s="10" t="s">
        <v>745</v>
      </c>
      <c r="B3" t="s">
        <v>777</v>
      </c>
      <c r="C3" t="s">
        <v>776</v>
      </c>
    </row>
    <row r="4" spans="1:3" x14ac:dyDescent="0.3">
      <c r="A4" s="1" t="s">
        <v>746</v>
      </c>
      <c r="B4" s="12">
        <v>87</v>
      </c>
      <c r="C4" s="12">
        <v>87</v>
      </c>
    </row>
    <row r="5" spans="1:3" x14ac:dyDescent="0.3">
      <c r="A5" s="11" t="s">
        <v>753</v>
      </c>
      <c r="B5" s="12">
        <v>1</v>
      </c>
      <c r="C5" s="12">
        <v>1</v>
      </c>
    </row>
    <row r="6" spans="1:3" x14ac:dyDescent="0.3">
      <c r="A6" s="11" t="s">
        <v>754</v>
      </c>
      <c r="B6" s="12">
        <v>1</v>
      </c>
      <c r="C6" s="12">
        <v>1</v>
      </c>
    </row>
    <row r="7" spans="1:3" x14ac:dyDescent="0.3">
      <c r="A7" s="11" t="s">
        <v>755</v>
      </c>
      <c r="B7" s="12">
        <v>1</v>
      </c>
      <c r="C7" s="12">
        <v>1</v>
      </c>
    </row>
    <row r="8" spans="1:3" x14ac:dyDescent="0.3">
      <c r="A8" s="11" t="s">
        <v>756</v>
      </c>
      <c r="B8" s="12">
        <v>1</v>
      </c>
      <c r="C8" s="12">
        <v>1</v>
      </c>
    </row>
    <row r="9" spans="1:3" x14ac:dyDescent="0.3">
      <c r="A9" s="11" t="s">
        <v>757</v>
      </c>
      <c r="B9" s="12">
        <v>8</v>
      </c>
      <c r="C9" s="12">
        <v>8</v>
      </c>
    </row>
    <row r="10" spans="1:3" x14ac:dyDescent="0.3">
      <c r="A10" s="11" t="s">
        <v>758</v>
      </c>
      <c r="B10" s="12">
        <v>1</v>
      </c>
      <c r="C10" s="12">
        <v>1</v>
      </c>
    </row>
    <row r="11" spans="1:3" x14ac:dyDescent="0.3">
      <c r="A11" s="11" t="s">
        <v>759</v>
      </c>
      <c r="B11" s="12">
        <v>7</v>
      </c>
      <c r="C11" s="12">
        <v>7</v>
      </c>
    </row>
    <row r="12" spans="1:3" x14ac:dyDescent="0.3">
      <c r="A12" s="11" t="s">
        <v>760</v>
      </c>
      <c r="B12" s="12">
        <v>1</v>
      </c>
      <c r="C12" s="12">
        <v>1</v>
      </c>
    </row>
    <row r="13" spans="1:3" x14ac:dyDescent="0.3">
      <c r="A13" s="11" t="s">
        <v>761</v>
      </c>
      <c r="B13" s="12">
        <v>1</v>
      </c>
      <c r="C13" s="12">
        <v>1</v>
      </c>
    </row>
    <row r="14" spans="1:3" x14ac:dyDescent="0.3">
      <c r="A14" s="11" t="s">
        <v>762</v>
      </c>
      <c r="B14" s="12">
        <v>12</v>
      </c>
      <c r="C14" s="12">
        <v>12</v>
      </c>
    </row>
    <row r="15" spans="1:3" x14ac:dyDescent="0.3">
      <c r="A15" s="11" t="s">
        <v>763</v>
      </c>
      <c r="B15" s="12">
        <v>13</v>
      </c>
      <c r="C15" s="12">
        <v>13</v>
      </c>
    </row>
    <row r="16" spans="1:3" x14ac:dyDescent="0.3">
      <c r="A16" s="11" t="s">
        <v>764</v>
      </c>
      <c r="B16" s="12">
        <v>2</v>
      </c>
      <c r="C16" s="12">
        <v>2</v>
      </c>
    </row>
    <row r="17" spans="1:13" x14ac:dyDescent="0.3">
      <c r="A17" s="11" t="s">
        <v>765</v>
      </c>
      <c r="B17" s="12">
        <v>2</v>
      </c>
      <c r="C17" s="12">
        <v>2</v>
      </c>
    </row>
    <row r="18" spans="1:13" x14ac:dyDescent="0.3">
      <c r="A18" s="11" t="s">
        <v>766</v>
      </c>
      <c r="B18" s="12">
        <v>1</v>
      </c>
      <c r="C18" s="12">
        <v>1</v>
      </c>
    </row>
    <row r="19" spans="1:13" x14ac:dyDescent="0.3">
      <c r="A19" s="11" t="s">
        <v>767</v>
      </c>
      <c r="B19" s="12">
        <v>1</v>
      </c>
      <c r="C19" s="12">
        <v>1</v>
      </c>
    </row>
    <row r="20" spans="1:13" x14ac:dyDescent="0.3">
      <c r="A20" s="11" t="s">
        <v>768</v>
      </c>
      <c r="B20" s="12">
        <v>1</v>
      </c>
      <c r="C20" s="12">
        <v>1</v>
      </c>
      <c r="I20" t="s">
        <v>26</v>
      </c>
      <c r="K20">
        <v>759</v>
      </c>
      <c r="L20">
        <v>287</v>
      </c>
      <c r="M20">
        <f>K20-L20</f>
        <v>472</v>
      </c>
    </row>
    <row r="21" spans="1:13" x14ac:dyDescent="0.3">
      <c r="A21" s="11" t="s">
        <v>769</v>
      </c>
      <c r="B21" s="12">
        <v>14</v>
      </c>
      <c r="C21" s="12">
        <v>14</v>
      </c>
      <c r="F21">
        <v>43</v>
      </c>
      <c r="G21">
        <v>117</v>
      </c>
      <c r="H21">
        <v>37</v>
      </c>
      <c r="I21">
        <f>87-1-2-1-1-2</f>
        <v>80</v>
      </c>
    </row>
    <row r="22" spans="1:13" x14ac:dyDescent="0.3">
      <c r="A22" s="11" t="s">
        <v>770</v>
      </c>
      <c r="B22" s="12">
        <v>5</v>
      </c>
      <c r="C22" s="12">
        <v>5</v>
      </c>
      <c r="F22">
        <v>3</v>
      </c>
    </row>
    <row r="23" spans="1:13" x14ac:dyDescent="0.3">
      <c r="A23" s="11" t="s">
        <v>771</v>
      </c>
      <c r="B23" s="12">
        <v>1</v>
      </c>
      <c r="C23" s="12">
        <v>1</v>
      </c>
      <c r="F23">
        <v>1</v>
      </c>
    </row>
    <row r="24" spans="1:13" x14ac:dyDescent="0.3">
      <c r="A24" s="11" t="s">
        <v>772</v>
      </c>
      <c r="B24" s="12">
        <v>2</v>
      </c>
      <c r="C24" s="12">
        <v>2</v>
      </c>
      <c r="F24">
        <v>2</v>
      </c>
    </row>
    <row r="25" spans="1:13" x14ac:dyDescent="0.3">
      <c r="A25" s="11" t="s">
        <v>773</v>
      </c>
      <c r="B25" s="12">
        <v>4</v>
      </c>
      <c r="C25" s="12">
        <v>4</v>
      </c>
      <c r="F25">
        <v>1</v>
      </c>
    </row>
    <row r="26" spans="1:13" x14ac:dyDescent="0.3">
      <c r="A26" s="11" t="s">
        <v>774</v>
      </c>
      <c r="B26" s="12">
        <v>2</v>
      </c>
      <c r="C26" s="12">
        <v>2</v>
      </c>
      <c r="F26">
        <v>1</v>
      </c>
    </row>
    <row r="27" spans="1:13" x14ac:dyDescent="0.3">
      <c r="A27" s="11" t="s">
        <v>775</v>
      </c>
      <c r="B27" s="12">
        <v>5</v>
      </c>
      <c r="C27" s="12">
        <v>5</v>
      </c>
      <c r="F27">
        <v>2</v>
      </c>
    </row>
    <row r="28" spans="1:13" x14ac:dyDescent="0.3">
      <c r="A28" s="1" t="s">
        <v>747</v>
      </c>
      <c r="B28" s="12">
        <v>43</v>
      </c>
      <c r="C28" s="12"/>
    </row>
    <row r="29" spans="1:13" x14ac:dyDescent="0.3">
      <c r="A29" s="11" t="s">
        <v>751</v>
      </c>
      <c r="B29" s="12">
        <v>43</v>
      </c>
      <c r="C29" s="12"/>
    </row>
    <row r="30" spans="1:13" x14ac:dyDescent="0.3">
      <c r="A30" s="1" t="s">
        <v>748</v>
      </c>
      <c r="B30" s="12">
        <v>3</v>
      </c>
      <c r="C30" s="12"/>
    </row>
    <row r="31" spans="1:13" x14ac:dyDescent="0.3">
      <c r="A31" s="11" t="s">
        <v>751</v>
      </c>
      <c r="B31" s="12">
        <v>3</v>
      </c>
      <c r="C31" s="12"/>
    </row>
    <row r="32" spans="1:13" x14ac:dyDescent="0.3">
      <c r="A32" s="1" t="s">
        <v>749</v>
      </c>
      <c r="B32" s="12">
        <v>117</v>
      </c>
      <c r="C32" s="12"/>
    </row>
    <row r="33" spans="1:3" x14ac:dyDescent="0.3">
      <c r="A33" s="11" t="s">
        <v>751</v>
      </c>
      <c r="B33" s="12">
        <v>117</v>
      </c>
      <c r="C33" s="12"/>
    </row>
    <row r="34" spans="1:3" x14ac:dyDescent="0.3">
      <c r="A34" s="1" t="s">
        <v>750</v>
      </c>
      <c r="B34" s="12">
        <v>37</v>
      </c>
      <c r="C34" s="12"/>
    </row>
    <row r="35" spans="1:3" x14ac:dyDescent="0.3">
      <c r="A35" s="11" t="s">
        <v>751</v>
      </c>
      <c r="B35" s="12">
        <v>37</v>
      </c>
      <c r="C35" s="12"/>
    </row>
    <row r="36" spans="1:3" x14ac:dyDescent="0.3">
      <c r="A36" s="1" t="s">
        <v>751</v>
      </c>
      <c r="B36" s="12"/>
      <c r="C36" s="12"/>
    </row>
    <row r="37" spans="1:3" x14ac:dyDescent="0.3">
      <c r="A37" s="11" t="s">
        <v>751</v>
      </c>
      <c r="B37" s="12"/>
      <c r="C37" s="12"/>
    </row>
    <row r="38" spans="1:3" x14ac:dyDescent="0.3">
      <c r="A38" s="1" t="s">
        <v>752</v>
      </c>
      <c r="B38" s="12">
        <v>287</v>
      </c>
      <c r="C38" s="12">
        <v>87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전체리스트</vt:lpstr>
      <vt:lpstr>기간만료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봉수 윤</dc:creator>
  <cp:lastModifiedBy>user</cp:lastModifiedBy>
  <cp:lastPrinted>2026-03-30T01:02:08Z</cp:lastPrinted>
  <dcterms:created xsi:type="dcterms:W3CDTF">2026-03-25T09:10:38Z</dcterms:created>
  <dcterms:modified xsi:type="dcterms:W3CDTF">2026-04-07T09:02:47Z</dcterms:modified>
</cp:coreProperties>
</file>